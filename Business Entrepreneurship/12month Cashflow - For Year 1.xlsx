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255" windowWidth="9360" windowHeight="6120"/>
  </bookViews>
  <sheets>
    <sheet name="Twelve-month cash flow" sheetId="1" r:id="rId1"/>
  </sheets>
  <definedNames>
    <definedName name="_xlnm.Print_Titles" localSheetId="0">'Twelve-month cash flow'!$4:$4</definedName>
  </definedNames>
  <calcPr calcId="125725"/>
</workbook>
</file>

<file path=xl/calcChain.xml><?xml version="1.0" encoding="utf-8"?>
<calcChain xmlns="http://schemas.openxmlformats.org/spreadsheetml/2006/main">
  <c r="C40" i="1"/>
  <c r="P35" l="1"/>
  <c r="O12" l="1"/>
  <c r="C12"/>
  <c r="C13" l="1"/>
  <c r="C32"/>
  <c r="C34" s="1"/>
  <c r="D12"/>
  <c r="D32"/>
  <c r="D34" s="1"/>
  <c r="E12"/>
  <c r="E32"/>
  <c r="E34" s="1"/>
  <c r="F12"/>
  <c r="F32"/>
  <c r="F34" s="1"/>
  <c r="G12"/>
  <c r="G32"/>
  <c r="G34" s="1"/>
  <c r="H12"/>
  <c r="H32"/>
  <c r="H34" s="1"/>
  <c r="I12"/>
  <c r="I32"/>
  <c r="I34" s="1"/>
  <c r="J12"/>
  <c r="J32"/>
  <c r="J34" s="1"/>
  <c r="K12"/>
  <c r="K32"/>
  <c r="K34" s="1"/>
  <c r="L12"/>
  <c r="L32"/>
  <c r="L34" s="1"/>
  <c r="M12"/>
  <c r="M32"/>
  <c r="M34" s="1"/>
  <c r="N12"/>
  <c r="N32"/>
  <c r="N34" s="1"/>
  <c r="F4"/>
  <c r="G4" s="1"/>
  <c r="H4" s="1"/>
  <c r="I4" s="1"/>
  <c r="J4" s="1"/>
  <c r="K4" s="1"/>
  <c r="L4" s="1"/>
  <c r="M4" s="1"/>
  <c r="N4" s="1"/>
  <c r="O4" s="1"/>
  <c r="O32"/>
  <c r="O34" s="1"/>
  <c r="C35" l="1"/>
  <c r="D5" s="1"/>
  <c r="D13" s="1"/>
  <c r="D35" s="1"/>
  <c r="E5" s="1"/>
  <c r="E13" s="1"/>
  <c r="E35" s="1"/>
  <c r="F5" s="1"/>
  <c r="F13" s="1"/>
  <c r="F35" s="1"/>
  <c r="G5" s="1"/>
  <c r="G13" s="1"/>
  <c r="G35" s="1"/>
  <c r="H5" s="1"/>
  <c r="H13" s="1"/>
  <c r="H35" s="1"/>
  <c r="I5" s="1"/>
  <c r="I13" s="1"/>
  <c r="I35" s="1"/>
  <c r="J5" s="1"/>
  <c r="J13" s="1"/>
  <c r="J35" s="1"/>
  <c r="K5" s="1"/>
  <c r="K13" s="1"/>
  <c r="K35" s="1"/>
  <c r="L5" s="1"/>
  <c r="L13" s="1"/>
  <c r="L35" s="1"/>
  <c r="M5" s="1"/>
  <c r="M13" s="1"/>
  <c r="M35" s="1"/>
  <c r="N5" s="1"/>
  <c r="N13" s="1"/>
  <c r="N35" s="1"/>
  <c r="O5" s="1"/>
  <c r="P5" l="1"/>
  <c r="P13" s="1"/>
  <c r="O13"/>
  <c r="O35" s="1"/>
</calcChain>
</file>

<file path=xl/sharedStrings.xml><?xml version="1.0" encoding="utf-8"?>
<sst xmlns="http://schemas.openxmlformats.org/spreadsheetml/2006/main" count="45" uniqueCount="43">
  <si>
    <t>Total Item EST</t>
  </si>
  <si>
    <t>CASH RECEIPTS</t>
  </si>
  <si>
    <t>Cash Sales</t>
  </si>
  <si>
    <t>TOTAL CASH RECEIPTS</t>
  </si>
  <si>
    <t>CASH PAID OUT</t>
  </si>
  <si>
    <t>Supplies (office &amp; oper.)</t>
  </si>
  <si>
    <t>Repairs &amp; maintenance</t>
  </si>
  <si>
    <t>Advertising</t>
  </si>
  <si>
    <t>Car, delivery &amp; travel</t>
  </si>
  <si>
    <t>Rent</t>
  </si>
  <si>
    <t>Telephone</t>
  </si>
  <si>
    <t>Insurance</t>
  </si>
  <si>
    <t>Interest</t>
  </si>
  <si>
    <t>SUBTOTAL</t>
  </si>
  <si>
    <t>Loan principal payment</t>
  </si>
  <si>
    <t>TOTAL CASH PAID OUT</t>
  </si>
  <si>
    <t>Accounts Receivable</t>
  </si>
  <si>
    <t>Bad Debt (end of month)</t>
  </si>
  <si>
    <t>Accounts Payable (eom)</t>
  </si>
  <si>
    <t>Pre-Startup EST</t>
  </si>
  <si>
    <t>Fiscal Year Begins:</t>
  </si>
  <si>
    <t>ESSENTIAL OPERATING DATA (non cash flow information)</t>
  </si>
  <si>
    <t>Depreciation</t>
  </si>
  <si>
    <t>Gross wages (exact withdrawal)</t>
  </si>
  <si>
    <r>
      <t>Total Cash Available</t>
    </r>
    <r>
      <rPr>
        <sz val="8"/>
        <rFont val="Arial"/>
        <family val="2"/>
      </rPr>
      <t xml:space="preserve"> (before cash out)</t>
    </r>
  </si>
  <si>
    <r>
      <t>Cash &amp; Bank on Hand</t>
    </r>
    <r>
      <rPr>
        <sz val="8"/>
        <rFont val="Arial"/>
        <family val="2"/>
      </rPr>
      <t xml:space="preserve"> (beginning of month)</t>
    </r>
  </si>
  <si>
    <r>
      <t xml:space="preserve">Cash &amp; Bank Position                 </t>
    </r>
    <r>
      <rPr>
        <sz val="8"/>
        <rFont val="Arial"/>
        <family val="2"/>
      </rPr>
      <t>(end of month)</t>
    </r>
  </si>
  <si>
    <t>Sales Volume (euros)</t>
  </si>
  <si>
    <t>Stock on hand (eom)</t>
  </si>
  <si>
    <t>Taxes</t>
  </si>
  <si>
    <t>Debtors</t>
  </si>
  <si>
    <t>Purchases (Materials)</t>
  </si>
  <si>
    <t>Purchases (Labour)</t>
  </si>
  <si>
    <t>Creditors</t>
  </si>
  <si>
    <t>62, 500</t>
  </si>
  <si>
    <t>42, 000</t>
  </si>
  <si>
    <t>Dividends payed out</t>
  </si>
  <si>
    <t>Purchases (Assets)</t>
  </si>
  <si>
    <t>Term Loan</t>
  </si>
  <si>
    <t>Twelve-month cash flow forecast.</t>
  </si>
  <si>
    <t>Petty Cash Payments</t>
  </si>
  <si>
    <t>Share capital and Investors</t>
  </si>
  <si>
    <t>SENSETRONIC CO2 SENSORS - Year 1</t>
  </si>
</sst>
</file>

<file path=xl/styles.xml><?xml version="1.0" encoding="utf-8"?>
<styleSheet xmlns="http://schemas.openxmlformats.org/spreadsheetml/2006/main">
  <numFmts count="1">
    <numFmt numFmtId="164" formatCode="mmmm"/>
  </numFmts>
  <fonts count="8"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9"/>
      <name val="Arial"/>
      <family val="2"/>
    </font>
    <font>
      <sz val="12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/>
    <xf numFmtId="0" fontId="2" fillId="0" borderId="0" xfId="0" applyFont="1" applyAlignment="1"/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0" borderId="0" xfId="0" applyFont="1" applyAlignment="1"/>
    <xf numFmtId="0" fontId="4" fillId="0" borderId="0" xfId="0" applyFont="1" applyAlignment="1"/>
    <xf numFmtId="0" fontId="7" fillId="0" borderId="0" xfId="0" applyFont="1" applyAlignment="1">
      <alignment horizontal="right"/>
    </xf>
    <xf numFmtId="17" fontId="7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vertical="center"/>
    </xf>
    <xf numFmtId="0" fontId="7" fillId="6" borderId="5" xfId="0" applyFont="1" applyFill="1" applyBorder="1" applyAlignment="1">
      <alignment vertical="center" wrapText="1"/>
    </xf>
    <xf numFmtId="3" fontId="2" fillId="6" borderId="3" xfId="0" applyNumberFormat="1" applyFont="1" applyFill="1" applyBorder="1" applyAlignment="1">
      <alignment vertical="center"/>
    </xf>
    <xf numFmtId="3" fontId="2" fillId="6" borderId="4" xfId="0" applyNumberFormat="1" applyFont="1" applyFill="1" applyBorder="1" applyAlignment="1">
      <alignment vertical="center"/>
    </xf>
    <xf numFmtId="3" fontId="2" fillId="6" borderId="0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BFAF5"/>
      <rgbColor rgb="00F6F3E2"/>
      <rgbColor rgb="00FFFF99"/>
      <rgbColor rgb="00BCCCE4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4"/>
    <pageSetUpPr fitToPage="1"/>
  </sheetPr>
  <dimension ref="B1:Q43"/>
  <sheetViews>
    <sheetView showGridLines="0" tabSelected="1" zoomScaleNormal="100" workbookViewId="0">
      <pane ySplit="4" topLeftCell="A27" activePane="bottomLeft" state="frozen"/>
      <selection pane="bottomLeft" activeCell="S41" sqref="S41"/>
    </sheetView>
  </sheetViews>
  <sheetFormatPr defaultRowHeight="11.25"/>
  <cols>
    <col min="1" max="1" width="1.83203125" style="2" customWidth="1"/>
    <col min="2" max="2" width="28.1640625" style="1" customWidth="1"/>
    <col min="3" max="3" width="11.6640625" style="2" customWidth="1"/>
    <col min="4" max="15" width="9.1640625" style="2" customWidth="1"/>
    <col min="16" max="16" width="10" style="2" customWidth="1"/>
    <col min="17" max="16384" width="9.33203125" style="2"/>
  </cols>
  <sheetData>
    <row r="1" spans="2:17" ht="11.25" customHeight="1"/>
    <row r="2" spans="2:17" s="4" customFormat="1" ht="27.75" customHeight="1">
      <c r="B2" s="3" t="s">
        <v>39</v>
      </c>
      <c r="H2" s="22" t="s">
        <v>42</v>
      </c>
      <c r="I2" s="22"/>
      <c r="J2" s="22"/>
      <c r="K2" s="23"/>
      <c r="L2" s="23"/>
      <c r="M2" s="23"/>
      <c r="N2" s="22"/>
      <c r="O2" s="24" t="s">
        <v>20</v>
      </c>
      <c r="P2" s="25">
        <v>41275</v>
      </c>
    </row>
    <row r="3" spans="2:17" ht="3.75" customHeight="1">
      <c r="B3" s="5"/>
      <c r="H3" s="6"/>
      <c r="J3" s="7"/>
      <c r="K3" s="7"/>
      <c r="L3" s="7"/>
    </row>
    <row r="4" spans="2:17" s="7" customFormat="1" ht="24.75" customHeight="1">
      <c r="B4" s="8"/>
      <c r="C4" s="26" t="s">
        <v>19</v>
      </c>
      <c r="D4" s="27">
        <v>41275</v>
      </c>
      <c r="E4" s="27">
        <v>41306</v>
      </c>
      <c r="F4" s="27">
        <f t="shared" ref="F4:O4" si="0">DATE(YEAR(E4),MONTH(E4)+1,1)</f>
        <v>41334</v>
      </c>
      <c r="G4" s="27">
        <f t="shared" si="0"/>
        <v>41365</v>
      </c>
      <c r="H4" s="27">
        <f t="shared" si="0"/>
        <v>41395</v>
      </c>
      <c r="I4" s="27">
        <f t="shared" si="0"/>
        <v>41426</v>
      </c>
      <c r="J4" s="27">
        <f t="shared" si="0"/>
        <v>41456</v>
      </c>
      <c r="K4" s="27">
        <f t="shared" si="0"/>
        <v>41487</v>
      </c>
      <c r="L4" s="27">
        <f t="shared" si="0"/>
        <v>41518</v>
      </c>
      <c r="M4" s="27">
        <f t="shared" si="0"/>
        <v>41548</v>
      </c>
      <c r="N4" s="27">
        <f t="shared" si="0"/>
        <v>41579</v>
      </c>
      <c r="O4" s="27">
        <f t="shared" si="0"/>
        <v>41609</v>
      </c>
      <c r="P4" s="28" t="s">
        <v>0</v>
      </c>
    </row>
    <row r="5" spans="2:17" ht="24" customHeight="1">
      <c r="B5" s="9" t="s">
        <v>25</v>
      </c>
      <c r="C5" s="10">
        <v>18000</v>
      </c>
      <c r="D5" s="10">
        <f>C35</f>
        <v>160700</v>
      </c>
      <c r="E5" s="10">
        <f t="shared" ref="E5:O5" si="1">D35</f>
        <v>140050</v>
      </c>
      <c r="F5" s="10">
        <f t="shared" si="1"/>
        <v>158500</v>
      </c>
      <c r="G5" s="10">
        <f t="shared" si="1"/>
        <v>143300</v>
      </c>
      <c r="H5" s="10">
        <f t="shared" si="1"/>
        <v>160100</v>
      </c>
      <c r="I5" s="10">
        <f t="shared" si="1"/>
        <v>135900</v>
      </c>
      <c r="J5" s="10">
        <f t="shared" si="1"/>
        <v>181070</v>
      </c>
      <c r="K5" s="10">
        <f t="shared" si="1"/>
        <v>184370</v>
      </c>
      <c r="L5" s="10">
        <f t="shared" si="1"/>
        <v>137470</v>
      </c>
      <c r="M5" s="10">
        <f t="shared" si="1"/>
        <v>139720</v>
      </c>
      <c r="N5" s="10">
        <f t="shared" si="1"/>
        <v>177120</v>
      </c>
      <c r="O5" s="10">
        <f t="shared" si="1"/>
        <v>139270</v>
      </c>
      <c r="P5" s="10">
        <f>O5</f>
        <v>139270</v>
      </c>
    </row>
    <row r="6" spans="2:17" ht="8.1" customHeight="1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</row>
    <row r="7" spans="2:17" ht="18" customHeight="1">
      <c r="B7" s="31" t="s">
        <v>1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3"/>
    </row>
    <row r="8" spans="2:17" ht="18" customHeight="1">
      <c r="B8" s="13" t="s">
        <v>2</v>
      </c>
      <c r="C8" s="10">
        <v>0</v>
      </c>
      <c r="D8" s="10">
        <v>37000</v>
      </c>
      <c r="E8" s="10">
        <v>42000</v>
      </c>
      <c r="F8" s="10">
        <v>45000</v>
      </c>
      <c r="G8" s="10">
        <v>44000</v>
      </c>
      <c r="H8" s="10">
        <v>45500</v>
      </c>
      <c r="I8" s="10">
        <v>47000</v>
      </c>
      <c r="J8" s="10">
        <v>60000</v>
      </c>
      <c r="K8" s="35" t="s">
        <v>34</v>
      </c>
      <c r="L8" s="10">
        <v>38500</v>
      </c>
      <c r="M8" s="35">
        <v>55000</v>
      </c>
      <c r="N8" s="35" t="s">
        <v>35</v>
      </c>
      <c r="O8" s="10">
        <v>61500</v>
      </c>
      <c r="P8" s="10"/>
    </row>
    <row r="9" spans="2:17" ht="18" customHeight="1">
      <c r="B9" s="29" t="s">
        <v>30</v>
      </c>
      <c r="C9" s="30">
        <v>0</v>
      </c>
      <c r="D9" s="30">
        <v>7000</v>
      </c>
      <c r="E9" s="30">
        <v>4000</v>
      </c>
      <c r="F9" s="30">
        <v>7500</v>
      </c>
      <c r="G9" s="30">
        <v>13000</v>
      </c>
      <c r="H9" s="30">
        <v>8000</v>
      </c>
      <c r="I9" s="30">
        <v>10000</v>
      </c>
      <c r="J9" s="30">
        <v>12000</v>
      </c>
      <c r="K9" s="30">
        <v>10500</v>
      </c>
      <c r="L9" s="30">
        <v>17000</v>
      </c>
      <c r="M9" s="30">
        <v>17000</v>
      </c>
      <c r="N9" s="30">
        <v>8000</v>
      </c>
      <c r="O9" s="30">
        <v>10500</v>
      </c>
      <c r="P9" s="30"/>
    </row>
    <row r="10" spans="2:17" ht="18" customHeight="1">
      <c r="B10" s="29" t="s">
        <v>41</v>
      </c>
      <c r="C10" s="30">
        <v>80000</v>
      </c>
      <c r="D10" s="30">
        <v>70000</v>
      </c>
      <c r="E10" s="30">
        <v>58000</v>
      </c>
      <c r="F10" s="30">
        <v>54000</v>
      </c>
      <c r="G10" s="30">
        <v>43000</v>
      </c>
      <c r="H10" s="30">
        <v>56000</v>
      </c>
      <c r="I10" s="30">
        <v>63000</v>
      </c>
      <c r="J10" s="30">
        <v>48000</v>
      </c>
      <c r="K10" s="30">
        <v>50000</v>
      </c>
      <c r="L10" s="30">
        <v>58000</v>
      </c>
      <c r="M10" s="30">
        <v>52000</v>
      </c>
      <c r="N10" s="30">
        <v>65000</v>
      </c>
      <c r="O10" s="30">
        <v>50000</v>
      </c>
      <c r="P10" s="30"/>
    </row>
    <row r="11" spans="2:17" ht="18" customHeight="1">
      <c r="B11" s="13" t="s">
        <v>38</v>
      </c>
      <c r="C11" s="36">
        <v>150000</v>
      </c>
      <c r="D11" s="10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/>
    </row>
    <row r="12" spans="2:17" ht="18" customHeight="1">
      <c r="B12" s="15" t="s">
        <v>3</v>
      </c>
      <c r="C12" s="16">
        <f t="shared" ref="C12:O12" si="2">SUM(C8:C11)</f>
        <v>230000</v>
      </c>
      <c r="D12" s="16">
        <f t="shared" si="2"/>
        <v>114000</v>
      </c>
      <c r="E12" s="16">
        <f t="shared" si="2"/>
        <v>104000</v>
      </c>
      <c r="F12" s="16">
        <f t="shared" si="2"/>
        <v>106500</v>
      </c>
      <c r="G12" s="16">
        <f t="shared" si="2"/>
        <v>100000</v>
      </c>
      <c r="H12" s="16">
        <f t="shared" si="2"/>
        <v>109500</v>
      </c>
      <c r="I12" s="16">
        <f t="shared" si="2"/>
        <v>120000</v>
      </c>
      <c r="J12" s="16">
        <f t="shared" si="2"/>
        <v>120000</v>
      </c>
      <c r="K12" s="16">
        <f t="shared" si="2"/>
        <v>60500</v>
      </c>
      <c r="L12" s="16">
        <f t="shared" si="2"/>
        <v>113500</v>
      </c>
      <c r="M12" s="16">
        <f t="shared" si="2"/>
        <v>124000</v>
      </c>
      <c r="N12" s="16">
        <f t="shared" si="2"/>
        <v>73000</v>
      </c>
      <c r="O12" s="16">
        <f t="shared" si="2"/>
        <v>122000</v>
      </c>
      <c r="P12" s="16">
        <v>1497000</v>
      </c>
    </row>
    <row r="13" spans="2:17" ht="24" customHeight="1">
      <c r="B13" s="9" t="s">
        <v>24</v>
      </c>
      <c r="C13" s="16">
        <f t="shared" ref="C13:P13" si="3">(C5+C12)</f>
        <v>248000</v>
      </c>
      <c r="D13" s="16">
        <f t="shared" si="3"/>
        <v>274700</v>
      </c>
      <c r="E13" s="16">
        <f t="shared" si="3"/>
        <v>244050</v>
      </c>
      <c r="F13" s="16">
        <f t="shared" si="3"/>
        <v>265000</v>
      </c>
      <c r="G13" s="16">
        <f t="shared" si="3"/>
        <v>243300</v>
      </c>
      <c r="H13" s="16">
        <f t="shared" si="3"/>
        <v>269600</v>
      </c>
      <c r="I13" s="16">
        <f t="shared" si="3"/>
        <v>255900</v>
      </c>
      <c r="J13" s="16">
        <f t="shared" si="3"/>
        <v>301070</v>
      </c>
      <c r="K13" s="16">
        <f t="shared" si="3"/>
        <v>244870</v>
      </c>
      <c r="L13" s="16">
        <f t="shared" si="3"/>
        <v>250970</v>
      </c>
      <c r="M13" s="16">
        <f t="shared" si="3"/>
        <v>263720</v>
      </c>
      <c r="N13" s="16">
        <f t="shared" si="3"/>
        <v>250120</v>
      </c>
      <c r="O13" s="16">
        <f t="shared" si="3"/>
        <v>261270</v>
      </c>
      <c r="P13" s="16">
        <f t="shared" si="3"/>
        <v>1636270</v>
      </c>
    </row>
    <row r="14" spans="2:17" s="7" customFormat="1" ht="8.1" customHeight="1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2:17" ht="18" customHeight="1">
      <c r="B15" s="31" t="s">
        <v>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3"/>
    </row>
    <row r="16" spans="2:17" ht="18" customHeight="1">
      <c r="B16" s="13" t="s">
        <v>31</v>
      </c>
      <c r="C16" s="10">
        <v>30000</v>
      </c>
      <c r="D16" s="10">
        <v>16000</v>
      </c>
      <c r="E16" s="10">
        <v>13500</v>
      </c>
      <c r="F16" s="10">
        <v>14000</v>
      </c>
      <c r="G16" s="10">
        <v>10000</v>
      </c>
      <c r="H16" s="10">
        <v>11500</v>
      </c>
      <c r="I16" s="10">
        <v>10000</v>
      </c>
      <c r="J16" s="10">
        <v>15000</v>
      </c>
      <c r="K16" s="10">
        <v>18500</v>
      </c>
      <c r="L16" s="10">
        <v>14000</v>
      </c>
      <c r="M16" s="10">
        <v>12500</v>
      </c>
      <c r="N16" s="10">
        <v>12000</v>
      </c>
      <c r="O16" s="10">
        <v>26000</v>
      </c>
      <c r="P16" s="10"/>
    </row>
    <row r="17" spans="2:16" ht="18" customHeight="1">
      <c r="B17" s="14" t="s">
        <v>32</v>
      </c>
      <c r="C17" s="30">
        <v>6800</v>
      </c>
      <c r="D17" s="30">
        <v>3650</v>
      </c>
      <c r="E17" s="30">
        <v>3050</v>
      </c>
      <c r="F17" s="30">
        <v>3200</v>
      </c>
      <c r="G17" s="30">
        <v>2250</v>
      </c>
      <c r="H17" s="30">
        <v>2600</v>
      </c>
      <c r="I17" s="30">
        <v>2250</v>
      </c>
      <c r="J17" s="30">
        <v>3400</v>
      </c>
      <c r="K17" s="30">
        <v>4200</v>
      </c>
      <c r="L17" s="30">
        <v>3200</v>
      </c>
      <c r="M17" s="30">
        <v>2850</v>
      </c>
      <c r="N17" s="30">
        <v>2750</v>
      </c>
      <c r="O17" s="30">
        <v>6000</v>
      </c>
      <c r="P17" s="30"/>
    </row>
    <row r="18" spans="2:16" ht="18" customHeight="1">
      <c r="B18" s="14" t="s">
        <v>37</v>
      </c>
      <c r="C18" s="30">
        <v>20000</v>
      </c>
      <c r="D18" s="30">
        <v>15000</v>
      </c>
      <c r="E18" s="30">
        <v>1000</v>
      </c>
      <c r="F18" s="30">
        <v>0</v>
      </c>
      <c r="G18" s="30">
        <v>5000</v>
      </c>
      <c r="H18" s="30">
        <v>18000</v>
      </c>
      <c r="I18" s="30">
        <v>0</v>
      </c>
      <c r="J18" s="30">
        <v>2000</v>
      </c>
      <c r="K18" s="30">
        <v>12000</v>
      </c>
      <c r="L18" s="30">
        <v>0</v>
      </c>
      <c r="M18" s="30">
        <v>0</v>
      </c>
      <c r="N18" s="30">
        <v>4000</v>
      </c>
      <c r="O18" s="30">
        <v>0</v>
      </c>
      <c r="P18" s="30"/>
    </row>
    <row r="19" spans="2:16" ht="18" customHeight="1">
      <c r="B19" s="13" t="s">
        <v>33</v>
      </c>
      <c r="C19" s="10">
        <v>0</v>
      </c>
      <c r="D19" s="10">
        <v>12000</v>
      </c>
      <c r="E19" s="10">
        <v>10000</v>
      </c>
      <c r="F19" s="10">
        <v>5000</v>
      </c>
      <c r="G19" s="10">
        <v>9000</v>
      </c>
      <c r="H19" s="10">
        <v>5000</v>
      </c>
      <c r="I19" s="10">
        <v>6000</v>
      </c>
      <c r="J19" s="10">
        <v>5000</v>
      </c>
      <c r="K19" s="10">
        <v>11000</v>
      </c>
      <c r="L19" s="10">
        <v>2000</v>
      </c>
      <c r="M19" s="10">
        <v>1500</v>
      </c>
      <c r="N19" s="10">
        <v>4000</v>
      </c>
      <c r="O19" s="10">
        <v>6000</v>
      </c>
      <c r="P19" s="10"/>
    </row>
    <row r="20" spans="2:16" ht="18" customHeight="1">
      <c r="B20" s="14" t="s">
        <v>23</v>
      </c>
      <c r="C20" s="30">
        <v>0</v>
      </c>
      <c r="D20" s="30">
        <v>10000</v>
      </c>
      <c r="E20" s="30">
        <v>10000</v>
      </c>
      <c r="F20" s="30">
        <v>15000</v>
      </c>
      <c r="G20" s="30">
        <v>15000</v>
      </c>
      <c r="H20" s="30">
        <v>17000</v>
      </c>
      <c r="I20" s="30">
        <v>16500</v>
      </c>
      <c r="J20" s="30">
        <v>16500</v>
      </c>
      <c r="K20" s="30">
        <v>14000</v>
      </c>
      <c r="L20" s="30">
        <v>14000</v>
      </c>
      <c r="M20" s="30">
        <v>13000</v>
      </c>
      <c r="N20" s="30">
        <v>12000</v>
      </c>
      <c r="O20" s="30">
        <v>12000</v>
      </c>
      <c r="P20" s="30"/>
    </row>
    <row r="21" spans="2:16" ht="18" customHeight="1">
      <c r="B21" s="13" t="s">
        <v>5</v>
      </c>
      <c r="C21" s="10">
        <v>500</v>
      </c>
      <c r="D21" s="10">
        <v>300</v>
      </c>
      <c r="E21" s="10">
        <v>600</v>
      </c>
      <c r="F21" s="10">
        <v>500</v>
      </c>
      <c r="G21" s="10">
        <v>300</v>
      </c>
      <c r="H21" s="10">
        <v>250</v>
      </c>
      <c r="I21" s="10">
        <v>100</v>
      </c>
      <c r="J21" s="10">
        <v>200</v>
      </c>
      <c r="K21" s="10">
        <v>450</v>
      </c>
      <c r="L21" s="10">
        <v>250</v>
      </c>
      <c r="M21" s="10">
        <v>150</v>
      </c>
      <c r="N21" s="10">
        <v>100</v>
      </c>
      <c r="O21" s="10">
        <v>600</v>
      </c>
      <c r="P21" s="10"/>
    </row>
    <row r="22" spans="2:16" ht="18" customHeight="1">
      <c r="B22" s="14" t="s">
        <v>6</v>
      </c>
      <c r="C22" s="30">
        <v>0</v>
      </c>
      <c r="D22" s="30">
        <v>0</v>
      </c>
      <c r="E22" s="30">
        <v>2000</v>
      </c>
      <c r="F22" s="30">
        <v>1000</v>
      </c>
      <c r="G22" s="30">
        <v>1150</v>
      </c>
      <c r="H22" s="30">
        <v>200</v>
      </c>
      <c r="I22" s="30">
        <v>780</v>
      </c>
      <c r="J22" s="30">
        <v>2000</v>
      </c>
      <c r="K22" s="30">
        <v>400</v>
      </c>
      <c r="L22" s="30">
        <v>3000</v>
      </c>
      <c r="M22" s="30">
        <v>8000</v>
      </c>
      <c r="N22" s="30">
        <v>2000</v>
      </c>
      <c r="O22" s="30">
        <v>0</v>
      </c>
      <c r="P22" s="30"/>
    </row>
    <row r="23" spans="2:16" ht="18" customHeight="1">
      <c r="B23" s="13" t="s">
        <v>7</v>
      </c>
      <c r="C23" s="10">
        <v>18000</v>
      </c>
      <c r="D23" s="10">
        <v>15000</v>
      </c>
      <c r="E23" s="10">
        <v>13000</v>
      </c>
      <c r="F23" s="10">
        <v>13000</v>
      </c>
      <c r="G23" s="10">
        <v>10500</v>
      </c>
      <c r="H23" s="10">
        <v>11000</v>
      </c>
      <c r="I23" s="10">
        <v>10000</v>
      </c>
      <c r="J23" s="10">
        <v>10000</v>
      </c>
      <c r="K23" s="10">
        <v>12000</v>
      </c>
      <c r="L23" s="10">
        <v>13000</v>
      </c>
      <c r="M23" s="10">
        <v>9000</v>
      </c>
      <c r="N23" s="10">
        <v>12000</v>
      </c>
      <c r="O23" s="10">
        <v>15000</v>
      </c>
      <c r="P23" s="10"/>
    </row>
    <row r="24" spans="2:16" ht="18" customHeight="1">
      <c r="B24" s="14" t="s">
        <v>8</v>
      </c>
      <c r="C24" s="30">
        <v>1500</v>
      </c>
      <c r="D24" s="30">
        <v>1000</v>
      </c>
      <c r="E24" s="30">
        <v>1000</v>
      </c>
      <c r="F24" s="30">
        <v>1500</v>
      </c>
      <c r="G24" s="30">
        <v>1300</v>
      </c>
      <c r="H24" s="30">
        <v>1650</v>
      </c>
      <c r="I24" s="30">
        <v>1700</v>
      </c>
      <c r="J24" s="30">
        <v>1400</v>
      </c>
      <c r="K24" s="30">
        <v>1000</v>
      </c>
      <c r="L24" s="30">
        <v>1600</v>
      </c>
      <c r="M24" s="30">
        <v>1300</v>
      </c>
      <c r="N24" s="30">
        <v>1400</v>
      </c>
      <c r="O24" s="30">
        <v>1500</v>
      </c>
      <c r="P24" s="30"/>
    </row>
    <row r="25" spans="2:16" ht="18" customHeight="1">
      <c r="B25" s="14" t="s">
        <v>9</v>
      </c>
      <c r="C25" s="30">
        <v>9000</v>
      </c>
      <c r="D25" s="30">
        <v>9000</v>
      </c>
      <c r="E25" s="30">
        <v>9000</v>
      </c>
      <c r="F25" s="30">
        <v>9000</v>
      </c>
      <c r="G25" s="30">
        <v>9000</v>
      </c>
      <c r="H25" s="30">
        <v>9000</v>
      </c>
      <c r="I25" s="30">
        <v>9000</v>
      </c>
      <c r="J25" s="30">
        <v>9000</v>
      </c>
      <c r="K25" s="30">
        <v>9000</v>
      </c>
      <c r="L25" s="30">
        <v>9000</v>
      </c>
      <c r="M25" s="30">
        <v>9000</v>
      </c>
      <c r="N25" s="30">
        <v>9000</v>
      </c>
      <c r="O25" s="30">
        <v>9000</v>
      </c>
      <c r="P25" s="30"/>
    </row>
    <row r="26" spans="2:16" ht="18" customHeight="1">
      <c r="B26" s="13" t="s">
        <v>10</v>
      </c>
      <c r="C26" s="10">
        <v>1500</v>
      </c>
      <c r="D26" s="10">
        <v>2200</v>
      </c>
      <c r="E26" s="10">
        <v>1900</v>
      </c>
      <c r="F26" s="10">
        <v>2000</v>
      </c>
      <c r="G26" s="10">
        <v>1400</v>
      </c>
      <c r="H26" s="10">
        <v>1500</v>
      </c>
      <c r="I26" s="10">
        <v>2000</v>
      </c>
      <c r="J26" s="10">
        <v>3000</v>
      </c>
      <c r="K26" s="10">
        <v>1600</v>
      </c>
      <c r="L26" s="10">
        <v>3100</v>
      </c>
      <c r="M26" s="10">
        <v>1000</v>
      </c>
      <c r="N26" s="10">
        <v>2200</v>
      </c>
      <c r="O26" s="10">
        <v>3000</v>
      </c>
      <c r="P26" s="10"/>
    </row>
    <row r="27" spans="2:16" ht="18" customHeight="1">
      <c r="B27" s="13" t="s">
        <v>11</v>
      </c>
      <c r="C27" s="10">
        <v>0</v>
      </c>
      <c r="D27" s="10">
        <v>16000</v>
      </c>
      <c r="E27" s="10">
        <v>0</v>
      </c>
      <c r="F27" s="10">
        <v>16000</v>
      </c>
      <c r="G27" s="10">
        <v>0</v>
      </c>
      <c r="H27" s="10">
        <v>16000</v>
      </c>
      <c r="I27" s="10">
        <v>0</v>
      </c>
      <c r="J27" s="10">
        <v>16000</v>
      </c>
      <c r="K27" s="10">
        <v>0</v>
      </c>
      <c r="L27" s="10">
        <v>16000</v>
      </c>
      <c r="M27" s="10">
        <v>0</v>
      </c>
      <c r="N27" s="10">
        <v>16000</v>
      </c>
      <c r="O27" s="10">
        <v>0</v>
      </c>
      <c r="P27" s="10"/>
    </row>
    <row r="28" spans="2:16" ht="18" customHeight="1">
      <c r="B28" s="14" t="s">
        <v>29</v>
      </c>
      <c r="C28" s="30">
        <v>0</v>
      </c>
      <c r="D28" s="30">
        <v>12000</v>
      </c>
      <c r="E28" s="30">
        <v>0</v>
      </c>
      <c r="F28" s="30">
        <v>12000</v>
      </c>
      <c r="G28" s="30">
        <v>0</v>
      </c>
      <c r="H28" s="30">
        <v>12000</v>
      </c>
      <c r="I28" s="30">
        <v>0</v>
      </c>
      <c r="J28" s="30">
        <v>12000</v>
      </c>
      <c r="K28" s="30">
        <v>0</v>
      </c>
      <c r="L28" s="30">
        <v>12000</v>
      </c>
      <c r="M28" s="30">
        <v>0</v>
      </c>
      <c r="N28" s="30">
        <v>12000</v>
      </c>
      <c r="O28" s="30">
        <v>0</v>
      </c>
      <c r="P28" s="30"/>
    </row>
    <row r="29" spans="2:16" ht="18" customHeight="1">
      <c r="B29" s="13" t="s">
        <v>12</v>
      </c>
      <c r="C29" s="10"/>
      <c r="D29" s="10">
        <v>2000</v>
      </c>
      <c r="E29" s="10">
        <v>2000</v>
      </c>
      <c r="F29" s="10">
        <v>2000</v>
      </c>
      <c r="G29" s="10">
        <v>2000</v>
      </c>
      <c r="H29" s="10">
        <v>2000</v>
      </c>
      <c r="I29" s="10">
        <v>2000</v>
      </c>
      <c r="J29" s="10">
        <v>2000</v>
      </c>
      <c r="K29" s="10">
        <v>2000</v>
      </c>
      <c r="L29" s="10">
        <v>2000</v>
      </c>
      <c r="M29" s="10">
        <v>2000</v>
      </c>
      <c r="N29" s="10">
        <v>2000</v>
      </c>
      <c r="O29" s="10">
        <v>2000</v>
      </c>
      <c r="P29" s="10"/>
    </row>
    <row r="30" spans="2:16" ht="18" customHeight="1">
      <c r="B30" s="14" t="s">
        <v>40</v>
      </c>
      <c r="C30" s="30">
        <v>0</v>
      </c>
      <c r="D30" s="30">
        <v>2000</v>
      </c>
      <c r="E30" s="30">
        <v>1000</v>
      </c>
      <c r="F30" s="30">
        <v>500</v>
      </c>
      <c r="G30" s="30">
        <v>800</v>
      </c>
      <c r="H30" s="30">
        <v>1500</v>
      </c>
      <c r="I30" s="30">
        <v>700</v>
      </c>
      <c r="J30" s="30">
        <v>700</v>
      </c>
      <c r="K30" s="30">
        <v>750</v>
      </c>
      <c r="L30" s="30">
        <v>600</v>
      </c>
      <c r="M30" s="30">
        <v>1800</v>
      </c>
      <c r="N30" s="30">
        <v>900</v>
      </c>
      <c r="O30" s="30">
        <v>1000</v>
      </c>
      <c r="P30" s="30"/>
    </row>
    <row r="31" spans="2:16" ht="18" customHeight="1">
      <c r="B31" s="13" t="s">
        <v>36</v>
      </c>
      <c r="C31" s="10">
        <v>0</v>
      </c>
      <c r="D31" s="10">
        <v>6000</v>
      </c>
      <c r="E31" s="10">
        <v>5000</v>
      </c>
      <c r="F31" s="10">
        <v>14500</v>
      </c>
      <c r="G31" s="10">
        <v>3000</v>
      </c>
      <c r="H31" s="10">
        <v>12000</v>
      </c>
      <c r="I31" s="10">
        <v>1300</v>
      </c>
      <c r="J31" s="10">
        <v>6000</v>
      </c>
      <c r="K31" s="10">
        <v>8000</v>
      </c>
      <c r="L31" s="10">
        <v>5000</v>
      </c>
      <c r="M31" s="10">
        <v>12000</v>
      </c>
      <c r="N31" s="10">
        <v>6000</v>
      </c>
      <c r="O31" s="10">
        <v>15000</v>
      </c>
      <c r="P31" s="10"/>
    </row>
    <row r="32" spans="2:16" ht="18" customHeight="1">
      <c r="B32" s="15" t="s">
        <v>13</v>
      </c>
      <c r="C32" s="16">
        <f t="shared" ref="C32:O32" si="4">SUM(C16:C31)</f>
        <v>87300</v>
      </c>
      <c r="D32" s="16">
        <f t="shared" si="4"/>
        <v>122150</v>
      </c>
      <c r="E32" s="16">
        <f t="shared" si="4"/>
        <v>73050</v>
      </c>
      <c r="F32" s="16">
        <f t="shared" si="4"/>
        <v>109200</v>
      </c>
      <c r="G32" s="16">
        <f t="shared" si="4"/>
        <v>70700</v>
      </c>
      <c r="H32" s="16">
        <f t="shared" si="4"/>
        <v>121200</v>
      </c>
      <c r="I32" s="16">
        <f t="shared" si="4"/>
        <v>62330</v>
      </c>
      <c r="J32" s="16">
        <f t="shared" si="4"/>
        <v>104200</v>
      </c>
      <c r="K32" s="16">
        <f t="shared" si="4"/>
        <v>94900</v>
      </c>
      <c r="L32" s="16">
        <f t="shared" si="4"/>
        <v>98750</v>
      </c>
      <c r="M32" s="16">
        <f t="shared" si="4"/>
        <v>74100</v>
      </c>
      <c r="N32" s="16">
        <f t="shared" si="4"/>
        <v>98350</v>
      </c>
      <c r="O32" s="16">
        <f t="shared" si="4"/>
        <v>97100</v>
      </c>
      <c r="P32" s="16"/>
    </row>
    <row r="33" spans="2:16" ht="18" customHeight="1">
      <c r="B33" s="13" t="s">
        <v>14</v>
      </c>
      <c r="C33" s="10">
        <v>0</v>
      </c>
      <c r="D33" s="10">
        <v>12500</v>
      </c>
      <c r="E33" s="10">
        <v>12500</v>
      </c>
      <c r="F33" s="10">
        <v>12500</v>
      </c>
      <c r="G33" s="10">
        <v>12500</v>
      </c>
      <c r="H33" s="10">
        <v>12500</v>
      </c>
      <c r="I33" s="10">
        <v>12500</v>
      </c>
      <c r="J33" s="10">
        <v>12500</v>
      </c>
      <c r="K33" s="10">
        <v>12500</v>
      </c>
      <c r="L33" s="10">
        <v>12500</v>
      </c>
      <c r="M33" s="10">
        <v>12500</v>
      </c>
      <c r="N33" s="10">
        <v>12500</v>
      </c>
      <c r="O33" s="10">
        <v>12500</v>
      </c>
      <c r="P33" s="10"/>
    </row>
    <row r="34" spans="2:16" ht="18" customHeight="1">
      <c r="B34" s="15" t="s">
        <v>15</v>
      </c>
      <c r="C34" s="16">
        <f t="shared" ref="C34:O34" si="5">SUM(C32:C33)</f>
        <v>87300</v>
      </c>
      <c r="D34" s="16">
        <f t="shared" si="5"/>
        <v>134650</v>
      </c>
      <c r="E34" s="16">
        <f t="shared" si="5"/>
        <v>85550</v>
      </c>
      <c r="F34" s="16">
        <f t="shared" si="5"/>
        <v>121700</v>
      </c>
      <c r="G34" s="16">
        <f t="shared" si="5"/>
        <v>83200</v>
      </c>
      <c r="H34" s="16">
        <f t="shared" si="5"/>
        <v>133700</v>
      </c>
      <c r="I34" s="16">
        <f t="shared" si="5"/>
        <v>74830</v>
      </c>
      <c r="J34" s="16">
        <f t="shared" si="5"/>
        <v>116700</v>
      </c>
      <c r="K34" s="16">
        <f t="shared" si="5"/>
        <v>107400</v>
      </c>
      <c r="L34" s="16">
        <f t="shared" si="5"/>
        <v>111250</v>
      </c>
      <c r="M34" s="16">
        <f t="shared" si="5"/>
        <v>86600</v>
      </c>
      <c r="N34" s="16">
        <f t="shared" si="5"/>
        <v>110850</v>
      </c>
      <c r="O34" s="16">
        <f t="shared" si="5"/>
        <v>109600</v>
      </c>
      <c r="P34" s="16">
        <v>1363330</v>
      </c>
    </row>
    <row r="35" spans="2:16" ht="22.5" customHeight="1">
      <c r="B35" s="9" t="s">
        <v>26</v>
      </c>
      <c r="C35" s="16">
        <f t="shared" ref="C35:O35" si="6">(C13-C34)</f>
        <v>160700</v>
      </c>
      <c r="D35" s="16">
        <f t="shared" si="6"/>
        <v>140050</v>
      </c>
      <c r="E35" s="16">
        <f t="shared" si="6"/>
        <v>158500</v>
      </c>
      <c r="F35" s="16">
        <f t="shared" si="6"/>
        <v>143300</v>
      </c>
      <c r="G35" s="16">
        <f t="shared" si="6"/>
        <v>160100</v>
      </c>
      <c r="H35" s="16">
        <f t="shared" si="6"/>
        <v>135900</v>
      </c>
      <c r="I35" s="16">
        <f t="shared" si="6"/>
        <v>181070</v>
      </c>
      <c r="J35" s="16">
        <f t="shared" si="6"/>
        <v>184370</v>
      </c>
      <c r="K35" s="16">
        <f t="shared" si="6"/>
        <v>137470</v>
      </c>
      <c r="L35" s="16">
        <f t="shared" si="6"/>
        <v>139720</v>
      </c>
      <c r="M35" s="16">
        <f t="shared" si="6"/>
        <v>177120</v>
      </c>
      <c r="N35" s="16">
        <f t="shared" si="6"/>
        <v>139270</v>
      </c>
      <c r="O35" s="16">
        <f t="shared" si="6"/>
        <v>151670</v>
      </c>
      <c r="P35" s="16">
        <f>(P13-P34)</f>
        <v>272940</v>
      </c>
    </row>
    <row r="36" spans="2:16" ht="8.1" customHeight="1"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2:16" ht="18" customHeight="1">
      <c r="B37" s="21" t="s">
        <v>21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</row>
    <row r="38" spans="2:16" ht="18" customHeight="1">
      <c r="B38" s="13" t="s">
        <v>27</v>
      </c>
      <c r="C38" s="10">
        <v>0</v>
      </c>
      <c r="D38" s="10">
        <v>37000</v>
      </c>
      <c r="E38" s="10">
        <v>42000</v>
      </c>
      <c r="F38" s="10">
        <v>45000</v>
      </c>
      <c r="G38" s="10">
        <v>44000</v>
      </c>
      <c r="H38" s="10">
        <v>45500</v>
      </c>
      <c r="I38" s="10">
        <v>47000</v>
      </c>
      <c r="J38" s="10">
        <v>60000</v>
      </c>
      <c r="K38" s="35" t="s">
        <v>34</v>
      </c>
      <c r="L38" s="10">
        <v>38500</v>
      </c>
      <c r="M38" s="35">
        <v>55000</v>
      </c>
      <c r="N38" s="35" t="s">
        <v>35</v>
      </c>
      <c r="O38" s="10">
        <v>61500</v>
      </c>
      <c r="P38" s="10">
        <v>475500</v>
      </c>
    </row>
    <row r="39" spans="2:16" ht="18" customHeight="1">
      <c r="B39" s="14" t="s">
        <v>16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</row>
    <row r="40" spans="2:16" ht="18" customHeight="1">
      <c r="B40" s="13" t="s">
        <v>17</v>
      </c>
      <c r="C40" s="10">
        <f>-D40</f>
        <v>0</v>
      </c>
      <c r="D40" s="10">
        <v>0</v>
      </c>
      <c r="E40" s="10">
        <v>5000</v>
      </c>
      <c r="F40" s="10">
        <v>4000</v>
      </c>
      <c r="G40" s="10">
        <v>1000</v>
      </c>
      <c r="H40" s="10">
        <v>3000</v>
      </c>
      <c r="I40" s="10">
        <v>0</v>
      </c>
      <c r="J40" s="10">
        <v>0</v>
      </c>
      <c r="K40" s="10">
        <v>1000</v>
      </c>
      <c r="L40" s="10">
        <v>600</v>
      </c>
      <c r="M40" s="10">
        <v>1500</v>
      </c>
      <c r="N40" s="10">
        <v>700</v>
      </c>
      <c r="O40" s="10">
        <v>1200</v>
      </c>
      <c r="P40" s="10">
        <v>18000</v>
      </c>
    </row>
    <row r="41" spans="2:16" ht="18" customHeight="1">
      <c r="B41" s="29" t="s">
        <v>28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</row>
    <row r="42" spans="2:16" ht="18" customHeight="1">
      <c r="B42" s="13" t="s">
        <v>18</v>
      </c>
      <c r="C42" s="10"/>
      <c r="D42" s="10">
        <v>12000</v>
      </c>
      <c r="E42" s="10">
        <v>10000</v>
      </c>
      <c r="F42" s="10">
        <v>5000</v>
      </c>
      <c r="G42" s="10">
        <v>9000</v>
      </c>
      <c r="H42" s="10">
        <v>5000</v>
      </c>
      <c r="I42" s="10">
        <v>6000</v>
      </c>
      <c r="J42" s="10">
        <v>5000</v>
      </c>
      <c r="K42" s="10">
        <v>11000</v>
      </c>
      <c r="L42" s="10">
        <v>2000</v>
      </c>
      <c r="M42" s="10">
        <v>1500</v>
      </c>
      <c r="N42" s="10">
        <v>4000</v>
      </c>
      <c r="O42" s="10">
        <v>6000</v>
      </c>
      <c r="P42" s="10">
        <v>76500</v>
      </c>
    </row>
    <row r="43" spans="2:16" ht="18" customHeight="1">
      <c r="B43" s="14" t="s">
        <v>22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</row>
  </sheetData>
  <phoneticPr fontId="0" type="noConversion"/>
  <pageMargins left="0" right="0" top="0.5" bottom="0.25" header="0" footer="0"/>
  <pageSetup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Twelve-month cash flow</vt:lpstr>
      <vt:lpstr>'Twelve-month cash flow'!Print_Titles</vt:lpstr>
    </vt:vector>
  </TitlesOfParts>
  <Company>Service Corps of Retired Executives (SCORE®)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Browne</dc:creator>
  <cp:lastModifiedBy>CIARAN</cp:lastModifiedBy>
  <cp:lastPrinted>2006-10-13T13:44:59Z</cp:lastPrinted>
  <dcterms:created xsi:type="dcterms:W3CDTF">2001-02-13T23:13:55Z</dcterms:created>
  <dcterms:modified xsi:type="dcterms:W3CDTF">2013-10-27T14:07:24Z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TC010175121033</vt:lpwstr>
  </property>
</Properties>
</file>