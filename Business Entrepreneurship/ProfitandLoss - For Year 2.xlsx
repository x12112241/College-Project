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360" yWindow="0" windowWidth="11160" windowHeight="8085"/>
  </bookViews>
  <sheets>
    <sheet name="P&amp;L Statement" sheetId="1" r:id="rId1"/>
  </sheets>
  <definedNames>
    <definedName name="_xlnm.Print_Titles" localSheetId="0">'P&amp;L Statement'!$9:$10</definedName>
  </definedNames>
  <calcPr calcId="125725"/>
</workbook>
</file>

<file path=xl/calcChain.xml><?xml version="1.0" encoding="utf-8"?>
<calcChain xmlns="http://schemas.openxmlformats.org/spreadsheetml/2006/main">
  <c r="B44" i="1"/>
  <c r="B24"/>
  <c r="B26" s="1"/>
  <c r="B46" s="1"/>
  <c r="B56" s="1"/>
  <c r="D44" l="1"/>
  <c r="E37"/>
  <c r="F37"/>
  <c r="G37"/>
  <c r="E22"/>
  <c r="F22"/>
  <c r="G22"/>
  <c r="C17" l="1"/>
  <c r="C24"/>
  <c r="C44"/>
  <c r="D24"/>
  <c r="D26" s="1"/>
  <c r="E26" s="1"/>
  <c r="F12"/>
  <c r="G12"/>
  <c r="F17"/>
  <c r="G17"/>
  <c r="C54"/>
  <c r="E17"/>
  <c r="E54"/>
  <c r="E53"/>
  <c r="E52"/>
  <c r="E51"/>
  <c r="E48"/>
  <c r="E43"/>
  <c r="E42"/>
  <c r="E41"/>
  <c r="E40"/>
  <c r="E39"/>
  <c r="E38"/>
  <c r="E36"/>
  <c r="E35"/>
  <c r="E34"/>
  <c r="E33"/>
  <c r="E32"/>
  <c r="E31"/>
  <c r="E30"/>
  <c r="E24"/>
  <c r="E23"/>
  <c r="E21"/>
  <c r="E20"/>
  <c r="E16"/>
  <c r="E14"/>
  <c r="E13"/>
  <c r="E12"/>
  <c r="B6"/>
  <c r="G54"/>
  <c r="F54"/>
  <c r="G53"/>
  <c r="F53"/>
  <c r="G52"/>
  <c r="F52"/>
  <c r="G51"/>
  <c r="F51"/>
  <c r="G48"/>
  <c r="F48"/>
  <c r="G44"/>
  <c r="G43"/>
  <c r="F43"/>
  <c r="G42"/>
  <c r="F42"/>
  <c r="G41"/>
  <c r="F41"/>
  <c r="G40"/>
  <c r="F40"/>
  <c r="G39"/>
  <c r="F39"/>
  <c r="G38"/>
  <c r="F38"/>
  <c r="G36"/>
  <c r="F36"/>
  <c r="G35"/>
  <c r="F35"/>
  <c r="G34"/>
  <c r="F34"/>
  <c r="G33"/>
  <c r="F33"/>
  <c r="G32"/>
  <c r="F32"/>
  <c r="G31"/>
  <c r="F31"/>
  <c r="G30"/>
  <c r="F30"/>
  <c r="G29"/>
  <c r="F29"/>
  <c r="G24"/>
  <c r="G23"/>
  <c r="F23"/>
  <c r="G21"/>
  <c r="F21"/>
  <c r="G20"/>
  <c r="F20"/>
  <c r="G16"/>
  <c r="F16"/>
  <c r="G14"/>
  <c r="F14"/>
  <c r="G13"/>
  <c r="F13"/>
  <c r="F24" l="1"/>
  <c r="C26"/>
  <c r="F44"/>
  <c r="E44"/>
  <c r="D46"/>
  <c r="D56" s="1"/>
  <c r="G26"/>
  <c r="C46"/>
  <c r="F26"/>
  <c r="E46" l="1"/>
  <c r="E56"/>
  <c r="B7"/>
  <c r="C56"/>
  <c r="G56" s="1"/>
  <c r="G46"/>
  <c r="F56"/>
  <c r="F46"/>
</calcChain>
</file>

<file path=xl/sharedStrings.xml><?xml version="1.0" encoding="utf-8"?>
<sst xmlns="http://schemas.openxmlformats.org/spreadsheetml/2006/main" count="46" uniqueCount="46">
  <si>
    <t>Repairs and maintenance</t>
  </si>
  <si>
    <t>Rent</t>
  </si>
  <si>
    <t>Telephone</t>
  </si>
  <si>
    <t>Insurance</t>
  </si>
  <si>
    <t>Cost of Sales</t>
  </si>
  <si>
    <t>Profit and Loss Statement</t>
  </si>
  <si>
    <t>Wages and salaries</t>
  </si>
  <si>
    <t>Taxes</t>
  </si>
  <si>
    <t>Payroll taxes</t>
  </si>
  <si>
    <t>Prior Period</t>
  </si>
  <si>
    <t>Budget</t>
  </si>
  <si>
    <t>Current Period</t>
  </si>
  <si>
    <t xml:space="preserve">  % Change from Prior Period</t>
  </si>
  <si>
    <t>% Change from Budget</t>
  </si>
  <si>
    <t>Income taxes</t>
  </si>
  <si>
    <t>Total Cost of Sales  [K]</t>
  </si>
  <si>
    <t>Gross Profit  [L=J-K]</t>
  </si>
  <si>
    <t>Other Income  [R]</t>
  </si>
  <si>
    <t>Total Taxes  [S]</t>
  </si>
  <si>
    <t>Gross margin  [L/J]</t>
  </si>
  <si>
    <t>Return on sales  [T/J]</t>
  </si>
  <si>
    <t>Current Period as % of Sales</t>
  </si>
  <si>
    <t>Sales Revenue</t>
  </si>
  <si>
    <t>Total Sales Revenue  [J]</t>
  </si>
  <si>
    <t>Supplies</t>
  </si>
  <si>
    <t>Corporation taxes</t>
  </si>
  <si>
    <t>Expenses</t>
  </si>
  <si>
    <t>Total Expenses [M]</t>
  </si>
  <si>
    <t>Income from Operations  [N=L-M]</t>
  </si>
  <si>
    <t>Net Profit  [T=N+R-S]</t>
  </si>
  <si>
    <t>Cash Sales</t>
  </si>
  <si>
    <t>Debtors</t>
  </si>
  <si>
    <t>Share Capital</t>
  </si>
  <si>
    <t>Term Loan</t>
  </si>
  <si>
    <t>Purchases</t>
  </si>
  <si>
    <t>Assets Purchased</t>
  </si>
  <si>
    <t>Car, delivery and travel</t>
  </si>
  <si>
    <t>Creditors</t>
  </si>
  <si>
    <t>Dividends paid out</t>
  </si>
  <si>
    <t>Materials Purchased</t>
  </si>
  <si>
    <t>Cost of labour</t>
  </si>
  <si>
    <t>Petty Cash Expenses</t>
  </si>
  <si>
    <t>Training</t>
  </si>
  <si>
    <t>Cash on hand</t>
  </si>
  <si>
    <t>For the trading Year ending &lt;31/December/2014&gt;</t>
  </si>
  <si>
    <t>SENSETRONIC CO2 SENSORS - Year 2</t>
  </si>
</sst>
</file>

<file path=xl/styles.xml><?xml version="1.0" encoding="utf-8"?>
<styleSheet xmlns="http://schemas.openxmlformats.org/spreadsheetml/2006/main">
  <numFmts count="2">
    <numFmt numFmtId="164" formatCode="[$-409]mmm\-yy;@"/>
    <numFmt numFmtId="165" formatCode="0.0%"/>
  </numFmts>
  <fonts count="14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4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i/>
      <sz val="8"/>
      <name val="Tahoma"/>
      <family val="2"/>
    </font>
    <font>
      <b/>
      <sz val="8"/>
      <color indexed="56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9">
    <border>
      <left/>
      <right/>
      <top/>
      <bottom/>
      <diagonal/>
    </border>
    <border>
      <left style="thin">
        <color indexed="21"/>
      </left>
      <right/>
      <top style="thin">
        <color indexed="21"/>
      </top>
      <bottom/>
      <diagonal/>
    </border>
    <border>
      <left/>
      <right style="thin">
        <color indexed="21"/>
      </right>
      <top style="thin">
        <color indexed="21"/>
      </top>
      <bottom/>
      <diagonal/>
    </border>
    <border>
      <left style="thin">
        <color indexed="21"/>
      </left>
      <right/>
      <top/>
      <bottom style="thin">
        <color indexed="21"/>
      </bottom>
      <diagonal/>
    </border>
    <border>
      <left/>
      <right style="thin">
        <color indexed="21"/>
      </right>
      <top/>
      <bottom style="thin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3" fontId="3" fillId="0" borderId="0" xfId="0" applyNumberFormat="1" applyFont="1" applyAlignment="1">
      <alignment wrapText="1"/>
    </xf>
    <xf numFmtId="0" fontId="1" fillId="0" borderId="0" xfId="0" applyFont="1" applyAlignment="1"/>
    <xf numFmtId="3" fontId="1" fillId="0" borderId="0" xfId="0" applyNumberFormat="1" applyFont="1" applyAlignment="1"/>
    <xf numFmtId="0" fontId="4" fillId="0" borderId="0" xfId="0" applyFont="1" applyAlignment="1">
      <alignment horizontal="center" textRotation="60" wrapText="1"/>
    </xf>
    <xf numFmtId="3" fontId="5" fillId="0" borderId="0" xfId="0" applyNumberFormat="1" applyFont="1" applyAlignment="1">
      <alignment wrapText="1"/>
    </xf>
    <xf numFmtId="3" fontId="5" fillId="0" borderId="0" xfId="0" applyNumberFormat="1" applyFont="1" applyBorder="1" applyAlignment="1">
      <alignment wrapText="1"/>
    </xf>
    <xf numFmtId="3" fontId="3" fillId="0" borderId="0" xfId="0" applyNumberFormat="1" applyFont="1" applyAlignment="1">
      <alignment horizontal="center" wrapText="1"/>
    </xf>
    <xf numFmtId="3" fontId="1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17" fontId="7" fillId="0" borderId="0" xfId="0" applyNumberFormat="1" applyFont="1" applyAlignment="1">
      <alignment horizontal="left"/>
    </xf>
    <xf numFmtId="0" fontId="9" fillId="0" borderId="0" xfId="0" applyFont="1" applyFill="1" applyBorder="1" applyAlignment="1">
      <alignment horizontal="center" wrapText="1"/>
    </xf>
    <xf numFmtId="0" fontId="8" fillId="2" borderId="1" xfId="0" applyFont="1" applyFill="1" applyBorder="1"/>
    <xf numFmtId="165" fontId="8" fillId="2" borderId="2" xfId="0" applyNumberFormat="1" applyFont="1" applyFill="1" applyBorder="1" applyAlignment="1">
      <alignment horizontal="center"/>
    </xf>
    <xf numFmtId="0" fontId="8" fillId="2" borderId="3" xfId="0" applyFont="1" applyFill="1" applyBorder="1"/>
    <xf numFmtId="165" fontId="8" fillId="2" borderId="4" xfId="0" applyNumberFormat="1" applyFont="1" applyFill="1" applyBorder="1" applyAlignment="1">
      <alignment horizontal="center"/>
    </xf>
    <xf numFmtId="17" fontId="11" fillId="0" borderId="5" xfId="0" applyNumberFormat="1" applyFont="1" applyBorder="1" applyAlignment="1" applyProtection="1">
      <alignment horizontal="center" wrapText="1"/>
    </xf>
    <xf numFmtId="164" fontId="11" fillId="0" borderId="5" xfId="0" applyNumberFormat="1" applyFont="1" applyBorder="1" applyAlignment="1" applyProtection="1">
      <alignment horizontal="center" wrapText="1"/>
    </xf>
    <xf numFmtId="165" fontId="11" fillId="0" borderId="5" xfId="0" applyNumberFormat="1" applyFont="1" applyBorder="1" applyAlignment="1" applyProtection="1">
      <alignment horizontal="center" wrapText="1"/>
    </xf>
    <xf numFmtId="0" fontId="11" fillId="0" borderId="5" xfId="0" applyFont="1" applyBorder="1" applyAlignment="1" applyProtection="1">
      <alignment horizontal="center" wrapText="1"/>
    </xf>
    <xf numFmtId="0" fontId="10" fillId="0" borderId="0" xfId="0" applyFont="1" applyBorder="1" applyAlignment="1">
      <alignment horizontal="center" vertical="center" textRotation="60" wrapText="1"/>
    </xf>
    <xf numFmtId="17" fontId="10" fillId="0" borderId="0" xfId="0" applyNumberFormat="1" applyFont="1" applyBorder="1" applyAlignment="1" applyProtection="1">
      <alignment horizontal="center" vertical="center" wrapText="1"/>
    </xf>
    <xf numFmtId="164" fontId="10" fillId="0" borderId="0" xfId="0" applyNumberFormat="1" applyFont="1" applyBorder="1" applyAlignment="1" applyProtection="1">
      <alignment horizontal="center" vertical="center" wrapText="1"/>
    </xf>
    <xf numFmtId="0" fontId="10" fillId="0" borderId="0" xfId="0" applyFont="1" applyBorder="1" applyAlignment="1" applyProtection="1">
      <alignment horizontal="center" vertical="center" wrapText="1"/>
    </xf>
    <xf numFmtId="0" fontId="10" fillId="0" borderId="0" xfId="0" applyFont="1" applyBorder="1" applyAlignment="1">
      <alignment vertical="center"/>
    </xf>
    <xf numFmtId="3" fontId="11" fillId="0" borderId="0" xfId="0" applyNumberFormat="1" applyFont="1" applyFill="1" applyBorder="1" applyAlignment="1">
      <alignment vertical="center" wrapText="1"/>
    </xf>
    <xf numFmtId="3" fontId="11" fillId="0" borderId="0" xfId="0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3" fontId="11" fillId="0" borderId="5" xfId="0" applyNumberFormat="1" applyFont="1" applyFill="1" applyBorder="1" applyAlignment="1">
      <alignment vertical="center" wrapText="1"/>
    </xf>
    <xf numFmtId="165" fontId="11" fillId="2" borderId="5" xfId="0" applyNumberFormat="1" applyFont="1" applyFill="1" applyBorder="1" applyAlignment="1">
      <alignment horizontal="center" vertical="center" wrapText="1"/>
    </xf>
    <xf numFmtId="3" fontId="11" fillId="0" borderId="6" xfId="0" applyNumberFormat="1" applyFont="1" applyFill="1" applyBorder="1" applyAlignment="1">
      <alignment vertical="center" wrapText="1"/>
    </xf>
    <xf numFmtId="165" fontId="11" fillId="2" borderId="6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3" fontId="11" fillId="2" borderId="5" xfId="0" applyNumberFormat="1" applyFont="1" applyFill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3" fontId="11" fillId="0" borderId="0" xfId="0" applyNumberFormat="1" applyFont="1" applyBorder="1" applyAlignment="1">
      <alignment vertical="center" wrapText="1"/>
    </xf>
    <xf numFmtId="3" fontId="11" fillId="0" borderId="0" xfId="0" applyNumberFormat="1" applyFont="1" applyBorder="1" applyAlignment="1">
      <alignment horizontal="center" vertical="center" wrapText="1"/>
    </xf>
    <xf numFmtId="0" fontId="10" fillId="2" borderId="5" xfId="0" applyFont="1" applyFill="1" applyBorder="1" applyAlignment="1">
      <alignment vertical="center" wrapText="1"/>
    </xf>
    <xf numFmtId="3" fontId="10" fillId="2" borderId="5" xfId="0" applyNumberFormat="1" applyFont="1" applyFill="1" applyBorder="1" applyAlignment="1">
      <alignment vertical="center" wrapText="1"/>
    </xf>
    <xf numFmtId="165" fontId="10" fillId="2" borderId="5" xfId="0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/>
    </xf>
    <xf numFmtId="0" fontId="12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3" fontId="10" fillId="0" borderId="0" xfId="0" applyNumberFormat="1" applyFont="1" applyBorder="1" applyAlignment="1">
      <alignment vertical="center" wrapText="1"/>
    </xf>
    <xf numFmtId="3" fontId="10" fillId="0" borderId="0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165" fontId="11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D3DAE5"/>
      <rgbColor rgb="00FFFF00"/>
      <rgbColor rgb="00EAEAEA"/>
      <rgbColor rgb="0000FFFF"/>
      <rgbColor rgb="00800000"/>
      <rgbColor rgb="00ECEFF4"/>
      <rgbColor rgb="00000080"/>
      <rgbColor rgb="00808000"/>
      <rgbColor rgb="00800080"/>
      <rgbColor rgb="00BBC6D7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7"/>
  <sheetViews>
    <sheetView showGridLines="0" tabSelected="1" zoomScaleNormal="100" workbookViewId="0">
      <pane ySplit="9" topLeftCell="A37" activePane="bottomLeft" state="frozen"/>
      <selection pane="bottomLeft" activeCell="G7" sqref="G7"/>
    </sheetView>
  </sheetViews>
  <sheetFormatPr defaultRowHeight="12.75"/>
  <cols>
    <col min="1" max="1" width="46.7109375" style="4" bestFit="1" customWidth="1"/>
    <col min="2" max="4" width="9.5703125" style="5" customWidth="1"/>
    <col min="5" max="7" width="9.5703125" style="10" customWidth="1"/>
    <col min="8" max="16384" width="9.140625" style="5"/>
  </cols>
  <sheetData>
    <row r="1" spans="1:7" s="1" customFormat="1" ht="18">
      <c r="A1" s="11" t="s">
        <v>5</v>
      </c>
      <c r="B1" s="12"/>
      <c r="C1" s="12"/>
      <c r="D1" s="12"/>
      <c r="E1" s="13"/>
      <c r="F1" s="13"/>
      <c r="G1" s="13"/>
    </row>
    <row r="2" spans="1:7" s="1" customFormat="1">
      <c r="A2" s="14" t="s">
        <v>45</v>
      </c>
      <c r="B2" s="12"/>
      <c r="C2" s="12"/>
      <c r="D2" s="12"/>
      <c r="E2" s="13"/>
      <c r="F2" s="13"/>
      <c r="G2" s="13"/>
    </row>
    <row r="3" spans="1:7" s="1" customFormat="1" ht="7.9" customHeight="1">
      <c r="A3" s="12"/>
      <c r="B3" s="12"/>
      <c r="C3" s="12"/>
      <c r="D3" s="12"/>
      <c r="E3" s="13"/>
      <c r="F3" s="13"/>
      <c r="G3" s="13"/>
    </row>
    <row r="4" spans="1:7" s="1" customFormat="1">
      <c r="A4" s="14" t="s">
        <v>44</v>
      </c>
      <c r="B4" s="12"/>
      <c r="C4" s="15"/>
      <c r="D4" s="14"/>
      <c r="E4" s="13"/>
      <c r="F4" s="13"/>
      <c r="G4" s="13"/>
    </row>
    <row r="5" spans="1:7" s="1" customFormat="1" ht="7.9" customHeight="1">
      <c r="A5" s="14"/>
      <c r="B5" s="12"/>
      <c r="C5" s="15"/>
      <c r="D5" s="12"/>
      <c r="E5" s="13"/>
      <c r="F5" s="13"/>
      <c r="G5" s="13"/>
    </row>
    <row r="6" spans="1:7" s="1" customFormat="1">
      <c r="A6" s="17" t="s">
        <v>19</v>
      </c>
      <c r="B6" s="18">
        <f>IF(D17=0,"-",D26/D17)</f>
        <v>0.81677527425825691</v>
      </c>
      <c r="C6" s="15"/>
      <c r="D6" s="12"/>
      <c r="E6" s="13"/>
      <c r="F6" s="13"/>
      <c r="G6" s="13"/>
    </row>
    <row r="7" spans="1:7" s="1" customFormat="1">
      <c r="A7" s="19" t="s">
        <v>20</v>
      </c>
      <c r="B7" s="20">
        <f>IF(D17=0,"-",D56/D17)</f>
        <v>0.19619934744666651</v>
      </c>
      <c r="C7" s="15"/>
      <c r="D7" s="12"/>
      <c r="E7" s="13"/>
      <c r="F7" s="13"/>
      <c r="G7" s="13"/>
    </row>
    <row r="8" spans="1:7" s="1" customFormat="1" ht="7.9" customHeight="1">
      <c r="A8" s="12"/>
      <c r="B8" s="12"/>
      <c r="C8" s="12"/>
      <c r="D8" s="12"/>
      <c r="E8" s="13"/>
      <c r="F8" s="13"/>
      <c r="G8" s="13"/>
    </row>
    <row r="9" spans="1:7" s="6" customFormat="1" ht="41.25" customHeight="1">
      <c r="A9" s="16"/>
      <c r="B9" s="21" t="s">
        <v>9</v>
      </c>
      <c r="C9" s="22" t="s">
        <v>10</v>
      </c>
      <c r="D9" s="22" t="s">
        <v>11</v>
      </c>
      <c r="E9" s="23" t="s">
        <v>21</v>
      </c>
      <c r="F9" s="24" t="s">
        <v>12</v>
      </c>
      <c r="G9" s="22" t="s">
        <v>13</v>
      </c>
    </row>
    <row r="10" spans="1:7" s="6" customFormat="1" ht="7.9" customHeight="1">
      <c r="A10" s="25"/>
      <c r="B10" s="26"/>
      <c r="C10" s="27"/>
      <c r="D10" s="27"/>
      <c r="E10" s="27"/>
      <c r="F10" s="28"/>
      <c r="G10" s="27"/>
    </row>
    <row r="11" spans="1:7" s="7" customFormat="1" ht="12">
      <c r="A11" s="29" t="s">
        <v>22</v>
      </c>
      <c r="B11" s="30"/>
      <c r="C11" s="30"/>
      <c r="D11" s="30"/>
      <c r="E11" s="31"/>
      <c r="F11" s="31"/>
      <c r="G11" s="31"/>
    </row>
    <row r="12" spans="1:7" s="7" customFormat="1" ht="12">
      <c r="A12" s="32" t="s">
        <v>30</v>
      </c>
      <c r="B12" s="33">
        <v>475500</v>
      </c>
      <c r="C12" s="33"/>
      <c r="D12" s="33">
        <v>985500</v>
      </c>
      <c r="E12" s="34">
        <f>IF($D$17=0,"-",D12/$D$17)</f>
        <v>0.47085320703351013</v>
      </c>
      <c r="F12" s="34">
        <f>IF(D12=0,"-",D12/B12-1)</f>
        <v>1.0725552050473186</v>
      </c>
      <c r="G12" s="34" t="e">
        <f>IF(D12=0,"-",D12/C12-1)</f>
        <v>#DIV/0!</v>
      </c>
    </row>
    <row r="13" spans="1:7" s="7" customFormat="1" ht="12">
      <c r="A13" s="32" t="s">
        <v>31</v>
      </c>
      <c r="B13" s="33">
        <v>124500</v>
      </c>
      <c r="C13" s="33"/>
      <c r="D13" s="33">
        <v>182500</v>
      </c>
      <c r="E13" s="34">
        <f>IF($D$17=0,"-",D13/$D$17)</f>
        <v>8.7195038339538913E-2</v>
      </c>
      <c r="F13" s="34">
        <f>IF(D13=0,"-",D13/B13-1)</f>
        <v>0.46586345381526106</v>
      </c>
      <c r="G13" s="34" t="e">
        <f>IF(D13=0,"-",D13/C13-1)</f>
        <v>#DIV/0!</v>
      </c>
    </row>
    <row r="14" spans="1:7" s="7" customFormat="1" ht="12">
      <c r="A14" s="32" t="s">
        <v>32</v>
      </c>
      <c r="B14" s="33">
        <v>747000</v>
      </c>
      <c r="C14" s="33"/>
      <c r="D14" s="33">
        <v>454800</v>
      </c>
      <c r="E14" s="34">
        <f>IF($D$17=0,"-",D14/$D$17)</f>
        <v>0.21729481335245093</v>
      </c>
      <c r="F14" s="34">
        <f>IF(D14=0,"-",D14/B14-1)</f>
        <v>-0.3911646586345382</v>
      </c>
      <c r="G14" s="34" t="e">
        <f>IF(D14=0,"-",D14/C14-1)</f>
        <v>#DIV/0!</v>
      </c>
    </row>
    <row r="15" spans="1:7" s="7" customFormat="1" ht="12">
      <c r="A15" s="32" t="s">
        <v>43</v>
      </c>
      <c r="B15" s="33">
        <v>139270</v>
      </c>
      <c r="C15" s="33"/>
      <c r="D15" s="33">
        <v>470209</v>
      </c>
      <c r="E15" s="36"/>
      <c r="F15" s="36"/>
      <c r="G15" s="36"/>
    </row>
    <row r="16" spans="1:7" s="7" customFormat="1" ht="12">
      <c r="A16" s="32" t="s">
        <v>33</v>
      </c>
      <c r="B16" s="33">
        <v>150000</v>
      </c>
      <c r="C16" s="33"/>
      <c r="D16" s="33"/>
      <c r="E16" s="36">
        <f>IF($D$17=0,"-",D16/$D$17)</f>
        <v>0</v>
      </c>
      <c r="F16" s="36" t="str">
        <f>IF(D16=0,"-",D16/B16-1)</f>
        <v>-</v>
      </c>
      <c r="G16" s="36" t="str">
        <f>IF(D16=0,"-",D16/C16-1)</f>
        <v>-</v>
      </c>
    </row>
    <row r="17" spans="1:7" s="7" customFormat="1" ht="12">
      <c r="A17" s="37" t="s">
        <v>23</v>
      </c>
      <c r="B17" s="38">
        <v>1636270</v>
      </c>
      <c r="C17" s="38">
        <f>SUM(C12:C16)</f>
        <v>0</v>
      </c>
      <c r="D17" s="38">
        <v>2093009</v>
      </c>
      <c r="E17" s="34">
        <f>IF($D$17=0,"-",D17/$D$17)</f>
        <v>1</v>
      </c>
      <c r="F17" s="34">
        <f>IF(D17=0,"-",D17/B17-1)</f>
        <v>0.27913425045988749</v>
      </c>
      <c r="G17" s="34" t="e">
        <f>IF(D17=0,"-",D17/C17-1)</f>
        <v>#DIV/0!</v>
      </c>
    </row>
    <row r="18" spans="1:7" s="7" customFormat="1" ht="8.25" customHeight="1">
      <c r="A18" s="39"/>
      <c r="B18" s="40"/>
      <c r="C18" s="40"/>
      <c r="D18" s="40"/>
      <c r="E18" s="41"/>
      <c r="F18" s="41"/>
      <c r="G18" s="41"/>
    </row>
    <row r="19" spans="1:7" s="7" customFormat="1" ht="12">
      <c r="A19" s="29" t="s">
        <v>4</v>
      </c>
      <c r="B19" s="40"/>
      <c r="C19" s="40"/>
      <c r="D19" s="40"/>
      <c r="E19" s="41"/>
      <c r="F19" s="41"/>
      <c r="G19" s="41"/>
    </row>
    <row r="20" spans="1:7" s="7" customFormat="1" ht="12">
      <c r="A20" s="32" t="s">
        <v>34</v>
      </c>
      <c r="B20" s="33">
        <v>249200</v>
      </c>
      <c r="C20" s="33"/>
      <c r="D20" s="33">
        <v>383491</v>
      </c>
      <c r="E20" s="34">
        <f>IF($D$17=0,"-",D20/$D$17)</f>
        <v>0.18322472574174312</v>
      </c>
      <c r="F20" s="34">
        <f>IF(D20=0,"-",D20/B20-1)</f>
        <v>0.53888844301765659</v>
      </c>
      <c r="G20" s="34" t="e">
        <f>IF(D20=0,"-",D20/C20-1)</f>
        <v>#DIV/0!</v>
      </c>
    </row>
    <row r="21" spans="1:7" s="7" customFormat="1" ht="12">
      <c r="A21" s="32"/>
      <c r="B21" s="33"/>
      <c r="C21" s="33"/>
      <c r="D21" s="33"/>
      <c r="E21" s="34">
        <f>IF($D$17=0,"-",D21/$D$17)</f>
        <v>0</v>
      </c>
      <c r="F21" s="34" t="str">
        <f>IF(D21=0,"-",D21/B21-1)</f>
        <v>-</v>
      </c>
      <c r="G21" s="34" t="str">
        <f>IF(D21=0,"-",D21/C21-1)</f>
        <v>-</v>
      </c>
    </row>
    <row r="22" spans="1:7" s="7" customFormat="1" ht="12">
      <c r="A22" s="32"/>
      <c r="B22" s="33"/>
      <c r="C22" s="33"/>
      <c r="D22" s="33"/>
      <c r="E22" s="34">
        <f>IF($D$17=0,"-",D22/$D$17)</f>
        <v>0</v>
      </c>
      <c r="F22" s="34" t="str">
        <f>IF(D22=0,"-",D22/B22-1)</f>
        <v>-</v>
      </c>
      <c r="G22" s="34" t="str">
        <f>IF(D22=0,"-",D22/C22-1)</f>
        <v>-</v>
      </c>
    </row>
    <row r="23" spans="1:7" s="7" customFormat="1" ht="12">
      <c r="A23" s="32"/>
      <c r="B23" s="35"/>
      <c r="C23" s="35"/>
      <c r="D23" s="35"/>
      <c r="E23" s="34">
        <f>IF($D$17=0,"-",D23/$D$17)</f>
        <v>0</v>
      </c>
      <c r="F23" s="34" t="str">
        <f>IF(D23=0,"-",D23/B23-1)</f>
        <v>-</v>
      </c>
      <c r="G23" s="34" t="str">
        <f>IF(D23=0,"-",D23/C23-1)</f>
        <v>-</v>
      </c>
    </row>
    <row r="24" spans="1:7" s="7" customFormat="1" ht="12">
      <c r="A24" s="37" t="s">
        <v>15</v>
      </c>
      <c r="B24" s="38">
        <f>SUM(B20:B23)</f>
        <v>249200</v>
      </c>
      <c r="C24" s="38">
        <f>SUM(C20:C23)</f>
        <v>0</v>
      </c>
      <c r="D24" s="38">
        <f>SUM(D20:D23)</f>
        <v>383491</v>
      </c>
      <c r="E24" s="34">
        <f>IF($D$17=0,"-",D24/$D$17)</f>
        <v>0.18322472574174312</v>
      </c>
      <c r="F24" s="34">
        <f>IF(D24=0,"-",D24/B24-1)</f>
        <v>0.53888844301765659</v>
      </c>
      <c r="G24" s="34" t="e">
        <f>IF(D24=0,"-",D24/C24-1)</f>
        <v>#DIV/0!</v>
      </c>
    </row>
    <row r="25" spans="1:7" s="7" customFormat="1" ht="8.25" customHeight="1">
      <c r="A25" s="39"/>
      <c r="B25" s="40"/>
      <c r="C25" s="40"/>
      <c r="D25" s="40"/>
      <c r="E25" s="41"/>
      <c r="F25" s="41"/>
      <c r="G25" s="41"/>
    </row>
    <row r="26" spans="1:7" s="7" customFormat="1" ht="12">
      <c r="A26" s="42" t="s">
        <v>16</v>
      </c>
      <c r="B26" s="43">
        <f>B17-B24</f>
        <v>1387070</v>
      </c>
      <c r="C26" s="43">
        <f>C17-C24</f>
        <v>0</v>
      </c>
      <c r="D26" s="43">
        <f>D17-D24</f>
        <v>1709518</v>
      </c>
      <c r="E26" s="44">
        <f>IF($D$17=0,"-",D26/$D$17)</f>
        <v>0.81677527425825691</v>
      </c>
      <c r="F26" s="44">
        <f>IF(B26=0,"-",IF(B26=D26,"0.0%",IF(D26&gt;B26,ABS((D26/B26)-1),IF(AND(D26&lt;B26,B26&lt;0),-((D26/B26)-1),(D26/B26)-1))))</f>
        <v>0.23246699878160437</v>
      </c>
      <c r="G26" s="44" t="str">
        <f>IF(C26=0,"-",IF(C26=D26,"0.0%",IF(D26&gt;C26,ABS((D26/C26)-1),IF(AND(D26&lt;C26,C26&lt;0),-((D26/C26)-1),(D26/C26)-1))))</f>
        <v>-</v>
      </c>
    </row>
    <row r="27" spans="1:7" s="7" customFormat="1" ht="8.25" customHeight="1">
      <c r="A27" s="39"/>
      <c r="B27" s="40"/>
      <c r="C27" s="40"/>
      <c r="D27" s="40"/>
      <c r="E27" s="41"/>
      <c r="F27" s="41"/>
      <c r="G27" s="41"/>
    </row>
    <row r="28" spans="1:7" s="7" customFormat="1" ht="12">
      <c r="A28" s="29" t="s">
        <v>26</v>
      </c>
      <c r="B28" s="40"/>
      <c r="C28" s="40"/>
      <c r="D28" s="40"/>
      <c r="E28" s="41"/>
      <c r="F28" s="41"/>
      <c r="G28" s="41"/>
    </row>
    <row r="29" spans="1:7" s="7" customFormat="1" ht="12">
      <c r="A29" s="45"/>
      <c r="B29" s="33"/>
      <c r="C29" s="33"/>
      <c r="D29" s="33"/>
      <c r="E29" s="34"/>
      <c r="F29" s="34" t="str">
        <f t="shared" ref="F29:F34" si="0">IF(D29=0,"-",D29/B29-1)</f>
        <v>-</v>
      </c>
      <c r="G29" s="34" t="str">
        <f t="shared" ref="G29:G34" si="1">IF(D29=0,"-",D29/C29-1)</f>
        <v>-</v>
      </c>
    </row>
    <row r="30" spans="1:7" s="7" customFormat="1" ht="12">
      <c r="A30" s="45" t="s">
        <v>37</v>
      </c>
      <c r="B30" s="33">
        <v>76500</v>
      </c>
      <c r="C30" s="33"/>
      <c r="D30" s="33">
        <v>68850</v>
      </c>
      <c r="E30" s="34">
        <f t="shared" ref="E30:E34" si="2">IF($D$17=0,"-",D30/$D$17)</f>
        <v>3.289522405302605E-2</v>
      </c>
      <c r="F30" s="34">
        <f t="shared" si="0"/>
        <v>-9.9999999999999978E-2</v>
      </c>
      <c r="G30" s="34" t="e">
        <f t="shared" si="1"/>
        <v>#DIV/0!</v>
      </c>
    </row>
    <row r="31" spans="1:7" s="7" customFormat="1" ht="12">
      <c r="A31" s="45" t="s">
        <v>35</v>
      </c>
      <c r="B31" s="33">
        <v>77000</v>
      </c>
      <c r="C31" s="33"/>
      <c r="D31" s="33">
        <v>148600</v>
      </c>
      <c r="E31" s="34">
        <f t="shared" si="2"/>
        <v>7.0998261354824566E-2</v>
      </c>
      <c r="F31" s="34">
        <f t="shared" si="0"/>
        <v>0.92987012987012996</v>
      </c>
      <c r="G31" s="34" t="e">
        <f t="shared" si="1"/>
        <v>#DIV/0!</v>
      </c>
    </row>
    <row r="32" spans="1:7" s="7" customFormat="1" ht="12">
      <c r="A32" s="45" t="s">
        <v>36</v>
      </c>
      <c r="B32" s="35">
        <v>17850</v>
      </c>
      <c r="C32" s="35"/>
      <c r="D32" s="35">
        <v>3200</v>
      </c>
      <c r="E32" s="34">
        <f t="shared" si="2"/>
        <v>1.5288993023919151E-3</v>
      </c>
      <c r="F32" s="34">
        <f t="shared" si="0"/>
        <v>-0.82072829131652658</v>
      </c>
      <c r="G32" s="34" t="e">
        <f t="shared" si="1"/>
        <v>#DIV/0!</v>
      </c>
    </row>
    <row r="33" spans="1:7" s="7" customFormat="1" ht="12">
      <c r="A33" s="45" t="s">
        <v>38</v>
      </c>
      <c r="B33" s="33">
        <v>93800</v>
      </c>
      <c r="C33" s="33"/>
      <c r="D33" s="33">
        <v>93800</v>
      </c>
      <c r="E33" s="34">
        <f t="shared" si="2"/>
        <v>4.4815860801363017E-2</v>
      </c>
      <c r="F33" s="34">
        <f t="shared" si="0"/>
        <v>0</v>
      </c>
      <c r="G33" s="34" t="e">
        <f t="shared" si="1"/>
        <v>#DIV/0!</v>
      </c>
    </row>
    <row r="34" spans="1:7" s="7" customFormat="1" ht="12">
      <c r="A34" s="45" t="s">
        <v>41</v>
      </c>
      <c r="B34" s="35">
        <v>12250</v>
      </c>
      <c r="C34" s="35"/>
      <c r="D34" s="35">
        <v>12620</v>
      </c>
      <c r="E34" s="34">
        <f t="shared" si="2"/>
        <v>6.0295966238081153E-3</v>
      </c>
      <c r="F34" s="34">
        <f t="shared" si="0"/>
        <v>3.0204081632652979E-2</v>
      </c>
      <c r="G34" s="34" t="e">
        <f t="shared" si="1"/>
        <v>#DIV/0!</v>
      </c>
    </row>
    <row r="35" spans="1:7" s="7" customFormat="1" ht="12">
      <c r="A35" s="45" t="s">
        <v>6</v>
      </c>
      <c r="B35" s="33">
        <v>165000</v>
      </c>
      <c r="C35" s="33"/>
      <c r="D35" s="33">
        <v>161300</v>
      </c>
      <c r="E35" s="34">
        <f t="shared" ref="E35:E44" si="3">IF($D$17=0,"-",D35/$D$17)</f>
        <v>7.7066080461192468E-2</v>
      </c>
      <c r="F35" s="34">
        <f t="shared" ref="F35:F44" si="4">IF(D35=0,"-",D35/B35-1)</f>
        <v>-2.2424242424242458E-2</v>
      </c>
      <c r="G35" s="34" t="e">
        <f t="shared" ref="G35:G44" si="5">IF(D35=0,"-",D35/C35-1)</f>
        <v>#DIV/0!</v>
      </c>
    </row>
    <row r="36" spans="1:7" s="7" customFormat="1" ht="12">
      <c r="A36" s="45" t="s">
        <v>24</v>
      </c>
      <c r="B36" s="33">
        <v>4300</v>
      </c>
      <c r="C36" s="33"/>
      <c r="D36" s="33">
        <v>6560</v>
      </c>
      <c r="E36" s="34">
        <f t="shared" si="3"/>
        <v>3.1342435699034262E-3</v>
      </c>
      <c r="F36" s="34">
        <f t="shared" si="4"/>
        <v>0.5255813953488373</v>
      </c>
      <c r="G36" s="34" t="e">
        <f t="shared" si="5"/>
        <v>#DIV/0!</v>
      </c>
    </row>
    <row r="37" spans="1:7" s="7" customFormat="1" ht="12">
      <c r="A37" s="45" t="s">
        <v>42</v>
      </c>
      <c r="B37" s="33">
        <v>8300</v>
      </c>
      <c r="C37" s="33"/>
      <c r="D37" s="33">
        <v>3850</v>
      </c>
      <c r="E37" s="34">
        <f t="shared" si="3"/>
        <v>1.8394569731902729E-3</v>
      </c>
      <c r="F37" s="34">
        <f t="shared" si="4"/>
        <v>-0.53614457831325302</v>
      </c>
      <c r="G37" s="34" t="e">
        <f t="shared" si="5"/>
        <v>#DIV/0!</v>
      </c>
    </row>
    <row r="38" spans="1:7" s="7" customFormat="1" ht="12">
      <c r="A38" s="45" t="s">
        <v>1</v>
      </c>
      <c r="B38" s="33">
        <v>117000</v>
      </c>
      <c r="C38" s="33"/>
      <c r="D38" s="33">
        <v>117000</v>
      </c>
      <c r="E38" s="34">
        <f t="shared" si="3"/>
        <v>5.5900380743704396E-2</v>
      </c>
      <c r="F38" s="34">
        <f t="shared" si="4"/>
        <v>0</v>
      </c>
      <c r="G38" s="34" t="e">
        <f t="shared" si="5"/>
        <v>#DIV/0!</v>
      </c>
    </row>
    <row r="39" spans="1:7" s="7" customFormat="1" ht="12">
      <c r="A39" s="45" t="s">
        <v>2</v>
      </c>
      <c r="B39" s="33">
        <v>26400</v>
      </c>
      <c r="C39" s="33"/>
      <c r="D39" s="33">
        <v>34100</v>
      </c>
      <c r="E39" s="34">
        <f t="shared" si="3"/>
        <v>1.6292333191113846E-2</v>
      </c>
      <c r="F39" s="34">
        <f t="shared" si="4"/>
        <v>0.29166666666666674</v>
      </c>
      <c r="G39" s="34" t="e">
        <f t="shared" si="5"/>
        <v>#DIV/0!</v>
      </c>
    </row>
    <row r="40" spans="1:7" s="7" customFormat="1" ht="12">
      <c r="A40" s="45" t="s">
        <v>3</v>
      </c>
      <c r="B40" s="33">
        <v>96000</v>
      </c>
      <c r="C40" s="33"/>
      <c r="D40" s="33">
        <v>96000</v>
      </c>
      <c r="E40" s="34">
        <f t="shared" si="3"/>
        <v>4.5866979071757456E-2</v>
      </c>
      <c r="F40" s="34">
        <f t="shared" si="4"/>
        <v>0</v>
      </c>
      <c r="G40" s="34" t="e">
        <f t="shared" si="5"/>
        <v>#DIV/0!</v>
      </c>
    </row>
    <row r="41" spans="1:7" s="7" customFormat="1" ht="12">
      <c r="A41" s="45" t="s">
        <v>0</v>
      </c>
      <c r="B41" s="33">
        <v>20530</v>
      </c>
      <c r="C41" s="33"/>
      <c r="D41" s="33">
        <v>19500</v>
      </c>
      <c r="E41" s="34">
        <f t="shared" si="3"/>
        <v>9.3167301239507339E-3</v>
      </c>
      <c r="F41" s="34">
        <f t="shared" si="4"/>
        <v>-5.0170482221139845E-2</v>
      </c>
      <c r="G41" s="34" t="e">
        <f t="shared" si="5"/>
        <v>#DIV/0!</v>
      </c>
    </row>
    <row r="42" spans="1:7" s="7" customFormat="1" ht="12">
      <c r="A42" s="45" t="s">
        <v>39</v>
      </c>
      <c r="B42" s="33">
        <v>203000</v>
      </c>
      <c r="C42" s="33"/>
      <c r="D42" s="33">
        <v>311000</v>
      </c>
      <c r="E42" s="34">
        <f t="shared" si="3"/>
        <v>0.14858990095121424</v>
      </c>
      <c r="F42" s="34">
        <f t="shared" si="4"/>
        <v>0.53201970443349755</v>
      </c>
      <c r="G42" s="34" t="e">
        <f t="shared" si="5"/>
        <v>#DIV/0!</v>
      </c>
    </row>
    <row r="43" spans="1:7" s="7" customFormat="1" ht="12">
      <c r="A43" s="45" t="s">
        <v>40</v>
      </c>
      <c r="B43" s="35">
        <v>46200</v>
      </c>
      <c r="C43" s="35"/>
      <c r="D43" s="35">
        <v>72491</v>
      </c>
      <c r="E43" s="34">
        <f t="shared" si="3"/>
        <v>3.4634824790528852E-2</v>
      </c>
      <c r="F43" s="34">
        <f t="shared" si="4"/>
        <v>0.56906926406926406</v>
      </c>
      <c r="G43" s="34" t="e">
        <f t="shared" si="5"/>
        <v>#DIV/0!</v>
      </c>
    </row>
    <row r="44" spans="1:7" s="7" customFormat="1" ht="12">
      <c r="A44" s="46" t="s">
        <v>27</v>
      </c>
      <c r="B44" s="38">
        <f>SUM(B29:B43)</f>
        <v>964130</v>
      </c>
      <c r="C44" s="38">
        <f>SUM(C35:C43)</f>
        <v>0</v>
      </c>
      <c r="D44" s="38">
        <f>SUM(D29:D43)</f>
        <v>1148871</v>
      </c>
      <c r="E44" s="34">
        <f t="shared" si="3"/>
        <v>0.54890877201196941</v>
      </c>
      <c r="F44" s="34">
        <f t="shared" si="4"/>
        <v>0.19161420140437491</v>
      </c>
      <c r="G44" s="34" t="e">
        <f t="shared" si="5"/>
        <v>#DIV/0!</v>
      </c>
    </row>
    <row r="45" spans="1:7" s="7" customFormat="1" ht="7.9" customHeight="1">
      <c r="A45" s="47"/>
      <c r="B45" s="40"/>
      <c r="C45" s="40"/>
      <c r="D45" s="40"/>
      <c r="E45" s="41"/>
      <c r="F45" s="41"/>
      <c r="G45" s="41"/>
    </row>
    <row r="46" spans="1:7" s="8" customFormat="1" ht="12">
      <c r="A46" s="42" t="s">
        <v>28</v>
      </c>
      <c r="B46" s="43">
        <f>B26-B44</f>
        <v>422940</v>
      </c>
      <c r="C46" s="43">
        <f>C26-C44</f>
        <v>0</v>
      </c>
      <c r="D46" s="43">
        <f>D26-D44</f>
        <v>560647</v>
      </c>
      <c r="E46" s="44">
        <f>IF($D$17=0,"-",D46/$D$17)</f>
        <v>0.2678665022462875</v>
      </c>
      <c r="F46" s="44">
        <f>IF(B46=0,"-",IF(B46=D46,"0.0%",IF(D46&gt;B46,ABS((D46/B46)-1),IF(AND(D46&lt;B46,B46&lt;0),-((D46/B46)-1),(D46/B46)-1))))</f>
        <v>0.32559464699484564</v>
      </c>
      <c r="G46" s="44" t="str">
        <f>IF(C46=0,"-",IF(C46=D46,"0.0%",IF(D46&gt;C46,ABS((D46/C46)-1),IF(AND(D46&lt;C46,C46&lt;0),-((D46/C46)-1),(D46/C46)-1))))</f>
        <v>-</v>
      </c>
    </row>
    <row r="47" spans="1:7" s="8" customFormat="1" ht="7.9" customHeight="1">
      <c r="A47" s="48"/>
      <c r="B47" s="49"/>
      <c r="C47" s="49"/>
      <c r="D47" s="49"/>
      <c r="E47" s="50"/>
      <c r="F47" s="50"/>
      <c r="G47" s="50"/>
    </row>
    <row r="48" spans="1:7" s="8" customFormat="1" ht="12">
      <c r="A48" s="51" t="s">
        <v>17</v>
      </c>
      <c r="B48" s="33"/>
      <c r="C48" s="33"/>
      <c r="D48" s="33"/>
      <c r="E48" s="52">
        <f>IF($D$17=0,"-",D48/$D$17)</f>
        <v>0</v>
      </c>
      <c r="F48" s="34" t="str">
        <f>IF(D48=0,"-",D48/B48-1)</f>
        <v>-</v>
      </c>
      <c r="G48" s="34" t="str">
        <f>IF(D48=0,"-",D48/C48-1)</f>
        <v>-</v>
      </c>
    </row>
    <row r="49" spans="1:7" s="8" customFormat="1" ht="11.25" customHeight="1">
      <c r="A49" s="48"/>
      <c r="B49" s="40"/>
      <c r="C49" s="40"/>
      <c r="D49" s="40"/>
      <c r="E49" s="41"/>
      <c r="F49" s="41"/>
      <c r="G49" s="41"/>
    </row>
    <row r="50" spans="1:7" s="8" customFormat="1" ht="11.25" customHeight="1">
      <c r="A50" s="48" t="s">
        <v>7</v>
      </c>
      <c r="B50" s="40"/>
      <c r="C50" s="40"/>
      <c r="D50" s="40"/>
      <c r="E50" s="41"/>
      <c r="F50" s="41"/>
      <c r="G50" s="41"/>
    </row>
    <row r="51" spans="1:7" s="7" customFormat="1" ht="12">
      <c r="A51" s="32" t="s">
        <v>14</v>
      </c>
      <c r="B51" s="33">
        <v>50000</v>
      </c>
      <c r="C51" s="33"/>
      <c r="D51" s="33">
        <v>50000</v>
      </c>
      <c r="E51" s="34">
        <f>IF($D$17=0,"-",D51/$D$17)</f>
        <v>2.3889051599873673E-2</v>
      </c>
      <c r="F51" s="34">
        <f>IF(D51=0,"-",D51/B51-1)</f>
        <v>0</v>
      </c>
      <c r="G51" s="34" t="e">
        <f>IF(D51=0,"-",D51/C51-1)</f>
        <v>#DIV/0!</v>
      </c>
    </row>
    <row r="52" spans="1:7" s="7" customFormat="1" ht="12">
      <c r="A52" s="32" t="s">
        <v>8</v>
      </c>
      <c r="B52" s="33">
        <v>70000</v>
      </c>
      <c r="C52" s="33"/>
      <c r="D52" s="33">
        <v>70000</v>
      </c>
      <c r="E52" s="34">
        <f>IF($D$17=0,"-",D52/$D$17)</f>
        <v>3.3444672239823142E-2</v>
      </c>
      <c r="F52" s="34">
        <f>IF(D52=0,"-",D52/B52-1)</f>
        <v>0</v>
      </c>
      <c r="G52" s="34" t="e">
        <f>IF(D52=0,"-",D52/C52-1)</f>
        <v>#DIV/0!</v>
      </c>
    </row>
    <row r="53" spans="1:7" s="7" customFormat="1" ht="12">
      <c r="A53" s="32" t="s">
        <v>25</v>
      </c>
      <c r="B53" s="33">
        <v>30000</v>
      </c>
      <c r="C53" s="33"/>
      <c r="D53" s="33">
        <v>30000</v>
      </c>
      <c r="E53" s="34">
        <f>IF($D$17=0,"-",D53/$D$17)</f>
        <v>1.4333430959924206E-2</v>
      </c>
      <c r="F53" s="34">
        <f>IF(D53=0,"-",D53/B53-1)</f>
        <v>0</v>
      </c>
      <c r="G53" s="34" t="e">
        <f>IF(D53=0,"-",D53/C53-1)</f>
        <v>#DIV/0!</v>
      </c>
    </row>
    <row r="54" spans="1:7" s="7" customFormat="1" ht="12">
      <c r="A54" s="37" t="s">
        <v>18</v>
      </c>
      <c r="B54" s="38">
        <v>150000</v>
      </c>
      <c r="C54" s="38">
        <f>SUM(C51:C53)</f>
        <v>0</v>
      </c>
      <c r="D54" s="38">
        <v>150000</v>
      </c>
      <c r="E54" s="34">
        <f>IF($D$17=0,"-",D54/$D$17)</f>
        <v>7.1667154799621019E-2</v>
      </c>
      <c r="F54" s="34">
        <f>IF(D54=0,"-",D54/B54-1)</f>
        <v>0</v>
      </c>
      <c r="G54" s="34" t="e">
        <f>IF(D54=0,"-",D54/C54-1)</f>
        <v>#DIV/0!</v>
      </c>
    </row>
    <row r="55" spans="1:7" s="7" customFormat="1" ht="8.25" customHeight="1">
      <c r="A55" s="39"/>
      <c r="B55" s="40"/>
      <c r="C55" s="40"/>
      <c r="D55" s="40"/>
      <c r="E55" s="41"/>
      <c r="F55" s="41"/>
      <c r="G55" s="41"/>
    </row>
    <row r="56" spans="1:7" s="7" customFormat="1" ht="12">
      <c r="A56" s="42" t="s">
        <v>29</v>
      </c>
      <c r="B56" s="43">
        <f>B46+B48-B54</f>
        <v>272940</v>
      </c>
      <c r="C56" s="43">
        <f>C46+C48-C54</f>
        <v>0</v>
      </c>
      <c r="D56" s="43">
        <f>D46+D48-D54</f>
        <v>410647</v>
      </c>
      <c r="E56" s="44">
        <f>IF($D$17=0,"-",D56/$D$17)</f>
        <v>0.19619934744666651</v>
      </c>
      <c r="F56" s="44">
        <f>IF(B56=0,"-",IF(B56=D56,"0.0%",IF(D56&gt;B56,ABS((D56/B56)-1),IF(AND(D56&lt;B56,B56&lt;0),-((D56/B56)-1),(D56/B56)-1))))</f>
        <v>0.50453213160401544</v>
      </c>
      <c r="G56" s="44" t="str">
        <f>IF(C56=0,"-",IF(C56=D56,"0.0%",IF(D56&gt;C56,ABS((D56/C56)-1),IF(AND(D56&lt;C56,C56&lt;0),-((D56/C56)-1),(D56/C56)-1))))</f>
        <v>-</v>
      </c>
    </row>
    <row r="57" spans="1:7" s="3" customFormat="1" ht="11.25">
      <c r="A57" s="2"/>
      <c r="E57" s="9"/>
      <c r="F57" s="9"/>
      <c r="G57" s="9"/>
    </row>
  </sheetData>
  <phoneticPr fontId="0" type="noConversion"/>
  <printOptions horizontalCentered="1" verticalCentered="1"/>
  <pageMargins left="0.5" right="0.5" top="0.5" bottom="0.5" header="0" footer="0"/>
  <pageSetup scale="9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P&amp;L Statement</vt:lpstr>
      <vt:lpstr>'P&amp;L Statement'!Print_Titles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Ciaran.</dc:creator>
  <cp:lastModifiedBy>CIARAN</cp:lastModifiedBy>
  <cp:lastPrinted>2006-10-13T14:36:21Z</cp:lastPrinted>
  <dcterms:created xsi:type="dcterms:W3CDTF">2001-02-14T23:59:14Z</dcterms:created>
  <dcterms:modified xsi:type="dcterms:W3CDTF">2013-10-27T13:54:59Z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TC011154841033</vt:lpwstr>
  </property>
</Properties>
</file>